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rishitgupta/Documents/Test/data/"/>
    </mc:Choice>
  </mc:AlternateContent>
  <xr:revisionPtr revIDLastSave="0" documentId="13_ncr:1_{E89280B6-B475-4D49-84C5-25B46FF23D07}" xr6:coauthVersionLast="47" xr6:coauthVersionMax="47" xr10:uidLastSave="{00000000-0000-0000-0000-000000000000}"/>
  <bookViews>
    <workbookView xWindow="0" yWindow="580" windowWidth="25600" windowHeight="16060" activeTab="1" xr2:uid="{00000000-000D-0000-FFFF-FFFF00000000}"/>
  </bookViews>
  <sheets>
    <sheet name="Truck_Master" sheetId="2" r:id="rId1"/>
    <sheet name="Docket_Master" sheetId="3" r:id="rId2"/>
    <sheet name="Stage1_Input" sheetId="4" r:id="rId3"/>
    <sheet name="Expected_Output" sheetId="5" r:id="rId4"/>
    <sheet name="Dashboard" sheetId="6" r:id="rId5"/>
    <sheet name="Lists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6" l="1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U17" i="4"/>
  <c r="S17" i="4"/>
  <c r="Q17" i="4"/>
  <c r="P17" i="4"/>
  <c r="M17" i="4"/>
  <c r="L17" i="4"/>
  <c r="K17" i="4"/>
  <c r="R17" i="4" s="1"/>
  <c r="J17" i="4"/>
  <c r="I17" i="4"/>
  <c r="H17" i="4"/>
  <c r="G17" i="4"/>
  <c r="F17" i="4"/>
  <c r="E17" i="4"/>
  <c r="D17" i="4"/>
  <c r="U16" i="4"/>
  <c r="S16" i="4"/>
  <c r="Q16" i="4"/>
  <c r="P16" i="4"/>
  <c r="O16" i="4"/>
  <c r="N16" i="4"/>
  <c r="T16" i="4" s="1"/>
  <c r="M16" i="4"/>
  <c r="L16" i="4"/>
  <c r="K16" i="4"/>
  <c r="R16" i="4" s="1"/>
  <c r="J16" i="4"/>
  <c r="I16" i="4"/>
  <c r="H16" i="4"/>
  <c r="G16" i="4"/>
  <c r="F16" i="4"/>
  <c r="E16" i="4"/>
  <c r="D16" i="4"/>
  <c r="U15" i="4"/>
  <c r="S15" i="4"/>
  <c r="R15" i="4"/>
  <c r="Q15" i="4"/>
  <c r="P15" i="4"/>
  <c r="N15" i="4"/>
  <c r="M15" i="4"/>
  <c r="L15" i="4"/>
  <c r="K15" i="4"/>
  <c r="J15" i="4"/>
  <c r="I15" i="4"/>
  <c r="H15" i="4"/>
  <c r="G15" i="4"/>
  <c r="F15" i="4"/>
  <c r="E15" i="4"/>
  <c r="D15" i="4"/>
  <c r="U14" i="4"/>
  <c r="S14" i="4"/>
  <c r="Q14" i="4"/>
  <c r="P14" i="4"/>
  <c r="O14" i="4"/>
  <c r="N14" i="4"/>
  <c r="T14" i="4" s="1"/>
  <c r="M14" i="4"/>
  <c r="L14" i="4"/>
  <c r="K14" i="4"/>
  <c r="J14" i="4"/>
  <c r="I14" i="4"/>
  <c r="H14" i="4"/>
  <c r="G14" i="4"/>
  <c r="F14" i="4"/>
  <c r="E14" i="4"/>
  <c r="D14" i="4"/>
  <c r="U13" i="4"/>
  <c r="S13" i="4"/>
  <c r="Q13" i="4"/>
  <c r="P13" i="4"/>
  <c r="O13" i="4"/>
  <c r="N13" i="4"/>
  <c r="T13" i="4" s="1"/>
  <c r="M13" i="4"/>
  <c r="L13" i="4"/>
  <c r="K13" i="4"/>
  <c r="J13" i="4"/>
  <c r="I13" i="4"/>
  <c r="H13" i="4"/>
  <c r="G13" i="4"/>
  <c r="F13" i="4"/>
  <c r="E13" i="4"/>
  <c r="D13" i="4"/>
  <c r="U12" i="4"/>
  <c r="S12" i="4"/>
  <c r="Q12" i="4"/>
  <c r="P12" i="4"/>
  <c r="M12" i="4"/>
  <c r="L12" i="4"/>
  <c r="K12" i="4"/>
  <c r="J12" i="4"/>
  <c r="I12" i="4"/>
  <c r="H12" i="4"/>
  <c r="G12" i="4"/>
  <c r="F12" i="4"/>
  <c r="E12" i="4"/>
  <c r="D12" i="4"/>
  <c r="U11" i="4"/>
  <c r="S11" i="4"/>
  <c r="Q11" i="4"/>
  <c r="P11" i="4"/>
  <c r="O11" i="4"/>
  <c r="N11" i="4"/>
  <c r="M11" i="4"/>
  <c r="L11" i="4"/>
  <c r="K11" i="4"/>
  <c r="R11" i="4" s="1"/>
  <c r="J11" i="4"/>
  <c r="I11" i="4"/>
  <c r="H11" i="4"/>
  <c r="G11" i="4"/>
  <c r="F11" i="4"/>
  <c r="E11" i="4"/>
  <c r="D11" i="4"/>
  <c r="U10" i="4"/>
  <c r="S10" i="4"/>
  <c r="Q10" i="4"/>
  <c r="P10" i="4"/>
  <c r="M10" i="4"/>
  <c r="L10" i="4"/>
  <c r="R10" i="4" s="1"/>
  <c r="K10" i="4"/>
  <c r="J10" i="4"/>
  <c r="I10" i="4"/>
  <c r="H10" i="4"/>
  <c r="G10" i="4"/>
  <c r="F10" i="4"/>
  <c r="E10" i="4"/>
  <c r="D10" i="4"/>
  <c r="E4" i="4"/>
  <c r="B8" i="6" s="1"/>
  <c r="I3" i="4"/>
  <c r="G3" i="4"/>
  <c r="E3" i="4"/>
  <c r="B5" i="6" s="1"/>
  <c r="M16" i="3"/>
  <c r="L16" i="3"/>
  <c r="M15" i="3"/>
  <c r="L15" i="3"/>
  <c r="M14" i="3"/>
  <c r="L14" i="3"/>
  <c r="M13" i="3"/>
  <c r="O17" i="4" s="1"/>
  <c r="L13" i="3"/>
  <c r="N17" i="4" s="1"/>
  <c r="T17" i="4" s="1"/>
  <c r="M12" i="3"/>
  <c r="O15" i="4" s="1"/>
  <c r="L12" i="3"/>
  <c r="M11" i="3"/>
  <c r="L11" i="3"/>
  <c r="M10" i="3"/>
  <c r="L10" i="3"/>
  <c r="M9" i="3"/>
  <c r="O12" i="4" s="1"/>
  <c r="L9" i="3"/>
  <c r="N12" i="4" s="1"/>
  <c r="T12" i="4" s="1"/>
  <c r="M8" i="3"/>
  <c r="L8" i="3"/>
  <c r="M7" i="3"/>
  <c r="L7" i="3"/>
  <c r="M6" i="3"/>
  <c r="L6" i="3"/>
  <c r="M5" i="3"/>
  <c r="L5" i="3"/>
  <c r="M4" i="3"/>
  <c r="O10" i="4" s="1"/>
  <c r="L4" i="3"/>
  <c r="N10" i="4" s="1"/>
  <c r="M3" i="3"/>
  <c r="L3" i="3"/>
  <c r="M2" i="3"/>
  <c r="L2" i="3"/>
  <c r="H5" i="2"/>
  <c r="H4" i="2"/>
  <c r="H3" i="2"/>
  <c r="H2" i="2"/>
  <c r="R14" i="4" l="1"/>
  <c r="R13" i="4"/>
  <c r="H7" i="6"/>
  <c r="H6" i="6"/>
  <c r="R12" i="4"/>
  <c r="T15" i="4"/>
  <c r="T10" i="4"/>
  <c r="G4" i="4"/>
  <c r="I4" i="4"/>
  <c r="B6" i="6"/>
  <c r="T11" i="4"/>
  <c r="B7" i="6"/>
  <c r="H5" i="6" l="1"/>
  <c r="G5" i="4"/>
  <c r="E7" i="6" s="1"/>
  <c r="K5" i="6" s="1"/>
  <c r="E6" i="6"/>
  <c r="H4" i="6"/>
  <c r="E4" i="6"/>
  <c r="I5" i="4"/>
  <c r="B9" i="6" s="1"/>
  <c r="E5" i="4"/>
  <c r="E5" i="6" s="1"/>
  <c r="K4" i="6" s="1"/>
  <c r="E8" i="6"/>
</calcChain>
</file>

<file path=xl/sharedStrings.xml><?xml version="1.0" encoding="utf-8"?>
<sst xmlns="http://schemas.openxmlformats.org/spreadsheetml/2006/main" count="341" uniqueCount="153">
  <si>
    <t>Truck_ID</t>
  </si>
  <si>
    <t>Truck_No</t>
  </si>
  <si>
    <t>Truck_Type</t>
  </si>
  <si>
    <t>Length_ft</t>
  </si>
  <si>
    <t>Width_ft</t>
  </si>
  <si>
    <t>Height_ft</t>
  </si>
  <si>
    <t>Max_Weight_kg</t>
  </si>
  <si>
    <t>Truck_Volume_cuft</t>
  </si>
  <si>
    <t>Door_Side</t>
  </si>
  <si>
    <t>Active_Status</t>
  </si>
  <si>
    <t>Remarks</t>
  </si>
  <si>
    <t>TRK-14FT-01</t>
  </si>
  <si>
    <t>DL01OM1401</t>
  </si>
  <si>
    <t>14 ft Eicher</t>
  </si>
  <si>
    <t>Rear</t>
  </si>
  <si>
    <t>Active</t>
  </si>
  <si>
    <t>Sample branch truck</t>
  </si>
  <si>
    <t>TRK-17FT-01</t>
  </si>
  <si>
    <t>DL01OM1701</t>
  </si>
  <si>
    <t>17 ft Eicher</t>
  </si>
  <si>
    <t>High volume daily dispatch</t>
  </si>
  <si>
    <t>TRK-19FT-01</t>
  </si>
  <si>
    <t>DL01OM1901</t>
  </si>
  <si>
    <t>19 ft Container</t>
  </si>
  <si>
    <t>Container type</t>
  </si>
  <si>
    <t>TRK-22FT-01</t>
  </si>
  <si>
    <t>DL01OM2201</t>
  </si>
  <si>
    <t>22 ft Container</t>
  </si>
  <si>
    <t>Large outbound load</t>
  </si>
  <si>
    <t>Docket_No</t>
  </si>
  <si>
    <t>Destination</t>
  </si>
  <si>
    <t>Item_Type</t>
  </si>
  <si>
    <t>Actual_Weight_kg</t>
  </si>
  <si>
    <t>Quantity</t>
  </si>
  <si>
    <t>Stackable</t>
  </si>
  <si>
    <t>Fragile</t>
  </si>
  <si>
    <t>Upright_Required</t>
  </si>
  <si>
    <t>Total_Weight_kg</t>
  </si>
  <si>
    <t>Total_Volume_cuft</t>
  </si>
  <si>
    <t>DKT-1001</t>
  </si>
  <si>
    <t>Noida</t>
  </si>
  <si>
    <t>Carton</t>
  </si>
  <si>
    <t>Yes</t>
  </si>
  <si>
    <t>No</t>
  </si>
  <si>
    <t>General carton boxes</t>
  </si>
  <si>
    <t>DKT-1002</t>
  </si>
  <si>
    <t>Small cartons</t>
  </si>
  <si>
    <t>DKT-1003</t>
  </si>
  <si>
    <t>Ghaziabad</t>
  </si>
  <si>
    <t>Pallet</t>
  </si>
  <si>
    <t>Palletized multi-box unit</t>
  </si>
  <si>
    <t>DKT-1004</t>
  </si>
  <si>
    <t>Meerut</t>
  </si>
  <si>
    <t>Drum</t>
  </si>
  <si>
    <t>Drums; keep upright</t>
  </si>
  <si>
    <t>DKT-1005</t>
  </si>
  <si>
    <t>Fragile cartons</t>
  </si>
  <si>
    <t>DKT-1006</t>
  </si>
  <si>
    <t>Faridabad</t>
  </si>
  <si>
    <t>Crate</t>
  </si>
  <si>
    <t>Fragile crates</t>
  </si>
  <si>
    <t>DKT-1007</t>
  </si>
  <si>
    <t>Gurugram</t>
  </si>
  <si>
    <t>Regular boxes</t>
  </si>
  <si>
    <t>DKT-1008</t>
  </si>
  <si>
    <t>Delhi</t>
  </si>
  <si>
    <t>Heavy pallet</t>
  </si>
  <si>
    <t>DKT-1009</t>
  </si>
  <si>
    <t>Medium cartons</t>
  </si>
  <si>
    <t>DKT-1010</t>
  </si>
  <si>
    <t>Others</t>
  </si>
  <si>
    <t>Irregular item</t>
  </si>
  <si>
    <t>DKT-1011</t>
  </si>
  <si>
    <t>Fragile / marked handle with care</t>
  </si>
  <si>
    <t>DKT-1012</t>
  </si>
  <si>
    <t>Light cartons</t>
  </si>
  <si>
    <t>DKT-1013</t>
  </si>
  <si>
    <t>Chemical drums sample</t>
  </si>
  <si>
    <t>DKT-1014</t>
  </si>
  <si>
    <t>Pallet – count as one handling unit</t>
  </si>
  <si>
    <t>DKT-1015</t>
  </si>
  <si>
    <t>Stackable cartons</t>
  </si>
  <si>
    <t>Stage 1 Loading Input – Company-Use Prototype</t>
  </si>
  <si>
    <t>Truck Type</t>
  </si>
  <si>
    <t>Max Weight kg</t>
  </si>
  <si>
    <t>Truck Volume cu.ft.</t>
  </si>
  <si>
    <t>Loading Date</t>
  </si>
  <si>
    <t>Selected Docket Count</t>
  </si>
  <si>
    <t>Total Selected Weight kg</t>
  </si>
  <si>
    <t>Total Selected Volume cu.ft.</t>
  </si>
  <si>
    <t>Prepared By</t>
  </si>
  <si>
    <t>Operations Intern / Manager</t>
  </si>
  <si>
    <t>Weight Utilization</t>
  </si>
  <si>
    <t>Volume Utilization</t>
  </si>
  <si>
    <t>Overall Status</t>
  </si>
  <si>
    <t>Formula note: Weight and volume totals are calculated from extracted docket values. If a docket is missing, Extraction_Status will show 'Missing in Docket_Master'.</t>
  </si>
  <si>
    <t>User only enters: Docket_No and Unload_Priority. All other fields are auto-extracted from Docket_Master.</t>
  </si>
  <si>
    <t>Entry_No</t>
  </si>
  <si>
    <t>Unload_Priority</t>
  </si>
  <si>
    <t>Suggested_Loading_Order</t>
  </si>
  <si>
    <t>Suggested_Truck_Zone</t>
  </si>
  <si>
    <t>Basic_Warning</t>
  </si>
  <si>
    <t>Extraction_Status</t>
  </si>
  <si>
    <t>Fit_Check</t>
  </si>
  <si>
    <t>Expected Output – Sample Loading Plan from Stage1_Input</t>
  </si>
  <si>
    <t>Loading_Order</t>
  </si>
  <si>
    <t>Suggested_Zone</t>
  </si>
  <si>
    <t>Load_Action</t>
  </si>
  <si>
    <t>Handling_Note</t>
  </si>
  <si>
    <t>X_Zone</t>
  </si>
  <si>
    <t>Y_Zone</t>
  </si>
  <si>
    <t>Z_Level</t>
  </si>
  <si>
    <t>Explanation</t>
  </si>
  <si>
    <t>Front / Deep Inside</t>
  </si>
  <si>
    <t>Load First</t>
  </si>
  <si>
    <t>Non-stackable: keep on floor; Keep upright</t>
  </si>
  <si>
    <t>Front</t>
  </si>
  <si>
    <t>Left/Right Balanced</t>
  </si>
  <si>
    <t>Floor</t>
  </si>
  <si>
    <t>Higher unload priority means later unloading; load earlier and place deeper.</t>
  </si>
  <si>
    <t>Middle Zone</t>
  </si>
  <si>
    <t>Load Middle</t>
  </si>
  <si>
    <t>Middle</t>
  </si>
  <si>
    <t>Middle stop; place in middle zone.</t>
  </si>
  <si>
    <t>Standard handling</t>
  </si>
  <si>
    <t>Stackable Level</t>
  </si>
  <si>
    <t>Rear / Near Door</t>
  </si>
  <si>
    <t>Load Last</t>
  </si>
  <si>
    <t>Fragile: avoid heavy stacking</t>
  </si>
  <si>
    <t>Unload first; keep accessible near rear door.</t>
  </si>
  <si>
    <t>Dashboard – Stage 1 Sample Loading Feasibility</t>
  </si>
  <si>
    <t>Metric</t>
  </si>
  <si>
    <t>Value</t>
  </si>
  <si>
    <t>Utilization Metric</t>
  </si>
  <si>
    <t>Warning Check</t>
  </si>
  <si>
    <t>Result</t>
  </si>
  <si>
    <t>Capacity Type</t>
  </si>
  <si>
    <t>Utilization</t>
  </si>
  <si>
    <t>Selected Truck</t>
  </si>
  <si>
    <t>Weight Check</t>
  </si>
  <si>
    <t>Weight</t>
  </si>
  <si>
    <t>Weight Utilization %</t>
  </si>
  <si>
    <t>Volume Check</t>
  </si>
  <si>
    <t>Volume</t>
  </si>
  <si>
    <t>Truck Max Weight kg</t>
  </si>
  <si>
    <t>Fragile Present</t>
  </si>
  <si>
    <t>Volume Utilization %</t>
  </si>
  <si>
    <t>Non-stackable Present</t>
  </si>
  <si>
    <t>Unused Volume cu.ft.</t>
  </si>
  <si>
    <t>Notes for Stage 1 Testing</t>
  </si>
  <si>
    <t>This dashboard is formula-driven from Stage1_Input. For the first prototype demo, use this workbook to prove that the tool can extract docket details using Docket_No, calculate weight/volume utilization, generate a suggested loading order, and flag handling constraints before moving to a Streamlit/Python interface.</t>
  </si>
  <si>
    <t>Inactive</t>
  </si>
  <si>
    <t>Must_Upright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</si>
</sst>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5">
    <font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i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0" xfId="0" applyFont="1" applyFill="1"/>
    <xf numFmtId="0" fontId="2" fillId="2" borderId="0" xfId="0" applyFont="1" applyFill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2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 wrapText="1"/>
    </xf>
    <xf numFmtId="165" fontId="0" fillId="0" borderId="0" xfId="0" applyNumberFormat="1" applyAlignment="1">
      <alignment wrapText="1"/>
    </xf>
    <xf numFmtId="0" fontId="3" fillId="2" borderId="0" xfId="0" applyFont="1" applyFill="1" applyAlignment="1">
      <alignment horizontal="center"/>
    </xf>
    <xf numFmtId="0" fontId="0" fillId="0" borderId="0" xfId="0"/>
    <xf numFmtId="0" fontId="1" fillId="4" borderId="0" xfId="0" applyFont="1" applyFill="1" applyAlignment="1">
      <alignment horizontal="center"/>
    </xf>
    <xf numFmtId="0" fontId="4" fillId="5" borderId="0" xfId="0" applyFont="1" applyFill="1" applyAlignment="1">
      <alignment wrapText="1"/>
    </xf>
    <xf numFmtId="0" fontId="1" fillId="3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5"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Weight vs Volume Utilization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Utilization</c:v>
          </c:tx>
          <c:invertIfNegative val="1"/>
          <c:cat>
            <c:strRef>
              <c:f>Dashboard!$J$4:$J$5</c:f>
              <c:strCache>
                <c:ptCount val="2"/>
                <c:pt idx="0">
                  <c:v>Weight</c:v>
                </c:pt>
                <c:pt idx="1">
                  <c:v>Volume</c:v>
                </c:pt>
              </c:strCache>
            </c:strRef>
          </c:cat>
          <c:val>
            <c:numRef>
              <c:f>Dashboard!$K$4:$K$5</c:f>
              <c:numCache>
                <c:formatCode>0.0%</c:formatCode>
                <c:ptCount val="2"/>
                <c:pt idx="0">
                  <c:v>0.53800000000000003</c:v>
                </c:pt>
                <c:pt idx="1">
                  <c:v>0.47905010893246192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5C-4941-AA12-EAE13A729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uckMasterTable" displayName="TruckMasterTable" ref="A1:K5">
  <tableColumns count="11">
    <tableColumn id="1" xr3:uid="{00000000-0010-0000-0000-000001000000}" name="Truck_ID"/>
    <tableColumn id="2" xr3:uid="{00000000-0010-0000-0000-000002000000}" name="Truck_No"/>
    <tableColumn id="3" xr3:uid="{00000000-0010-0000-0000-000003000000}" name="Truck_Type"/>
    <tableColumn id="4" xr3:uid="{00000000-0010-0000-0000-000004000000}" name="Length_ft"/>
    <tableColumn id="5" xr3:uid="{00000000-0010-0000-0000-000005000000}" name="Width_ft"/>
    <tableColumn id="6" xr3:uid="{00000000-0010-0000-0000-000006000000}" name="Height_ft"/>
    <tableColumn id="7" xr3:uid="{00000000-0010-0000-0000-000007000000}" name="Max_Weight_kg"/>
    <tableColumn id="8" xr3:uid="{00000000-0010-0000-0000-000008000000}" name="Truck_Volume_cuft"/>
    <tableColumn id="9" xr3:uid="{00000000-0010-0000-0000-000009000000}" name="Door_Side"/>
    <tableColumn id="10" xr3:uid="{00000000-0010-0000-0000-00000A000000}" name="Active_Status"/>
    <tableColumn id="11" xr3:uid="{00000000-0010-0000-0000-00000B000000}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ocketMasterTable" displayName="DocketMasterTable" ref="A1:N16">
  <tableColumns count="14">
    <tableColumn id="1" xr3:uid="{00000000-0010-0000-0100-000001000000}" name="Docket_No"/>
    <tableColumn id="2" xr3:uid="{00000000-0010-0000-0100-000002000000}" name="Destination"/>
    <tableColumn id="3" xr3:uid="{00000000-0010-0000-0100-000003000000}" name="Item_Type"/>
    <tableColumn id="4" xr3:uid="{00000000-0010-0000-0100-000004000000}" name="Length_ft"/>
    <tableColumn id="5" xr3:uid="{00000000-0010-0000-0100-000005000000}" name="Width_ft"/>
    <tableColumn id="6" xr3:uid="{00000000-0010-0000-0100-000006000000}" name="Height_ft"/>
    <tableColumn id="7" xr3:uid="{00000000-0010-0000-0100-000007000000}" name="Actual_Weight_kg"/>
    <tableColumn id="8" xr3:uid="{00000000-0010-0000-0100-000008000000}" name="Quantity"/>
    <tableColumn id="9" xr3:uid="{00000000-0010-0000-0100-000009000000}" name="Stackable"/>
    <tableColumn id="10" xr3:uid="{00000000-0010-0000-0100-00000A000000}" name="Fragile"/>
    <tableColumn id="11" xr3:uid="{00000000-0010-0000-0100-00000B000000}" name="Must_Upright"/>
    <tableColumn id="12" xr3:uid="{00000000-0010-0000-0100-00000C000000}" name="Total_Weight_kg"/>
    <tableColumn id="13" xr3:uid="{00000000-0010-0000-0100-00000D000000}" name="Total_Volume_cuft"/>
    <tableColumn id="14" xr3:uid="{00000000-0010-0000-0100-00000E000000}" name="Remark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tage1InputTable" displayName="Stage1InputTable" ref="A9:U29">
  <tableColumns count="21">
    <tableColumn id="1" xr3:uid="{00000000-0010-0000-0200-000001000000}" name="Entry_No"/>
    <tableColumn id="2" xr3:uid="{00000000-0010-0000-0200-000002000000}" name="Docket_No"/>
    <tableColumn id="3" xr3:uid="{00000000-0010-0000-0200-000003000000}" name="Unload_Priority"/>
    <tableColumn id="4" xr3:uid="{00000000-0010-0000-0200-000004000000}" name="Destination"/>
    <tableColumn id="5" xr3:uid="{00000000-0010-0000-0200-000005000000}" name="Item_Type"/>
    <tableColumn id="6" xr3:uid="{00000000-0010-0000-0200-000006000000}" name="Length_ft"/>
    <tableColumn id="7" xr3:uid="{00000000-0010-0000-0200-000007000000}" name="Width_ft"/>
    <tableColumn id="8" xr3:uid="{00000000-0010-0000-0200-000008000000}" name="Height_ft"/>
    <tableColumn id="9" xr3:uid="{00000000-0010-0000-0200-000009000000}" name="Actual_Weight_kg"/>
    <tableColumn id="10" xr3:uid="{00000000-0010-0000-0200-00000A000000}" name="Quantity"/>
    <tableColumn id="11" xr3:uid="{00000000-0010-0000-0200-00000B000000}" name="Stackable"/>
    <tableColumn id="12" xr3:uid="{00000000-0010-0000-0200-00000C000000}" name="Fragile"/>
    <tableColumn id="13" xr3:uid="{00000000-0010-0000-0200-00000D000000}" name="Upright_Required"/>
    <tableColumn id="14" xr3:uid="{00000000-0010-0000-0200-00000E000000}" name="Total_Weight_kg"/>
    <tableColumn id="15" xr3:uid="{00000000-0010-0000-0200-00000F000000}" name="Total_Volume_cuft"/>
    <tableColumn id="16" xr3:uid="{00000000-0010-0000-0200-000010000000}" name="Suggested_Loading_Order"/>
    <tableColumn id="17" xr3:uid="{00000000-0010-0000-0200-000011000000}" name="Suggested_Truck_Zone"/>
    <tableColumn id="18" xr3:uid="{00000000-0010-0000-0200-000012000000}" name="Basic_Warning"/>
    <tableColumn id="19" xr3:uid="{00000000-0010-0000-0200-000013000000}" name="Extraction_Status"/>
    <tableColumn id="20" xr3:uid="{00000000-0010-0000-0200-000014000000}" name="Fit_Check"/>
    <tableColumn id="21" xr3:uid="{00000000-0010-0000-0200-000015000000}" name="Remark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xpectedOutputTable" displayName="ExpectedOutputTable" ref="A3:N11">
  <tableColumns count="14">
    <tableColumn id="1" xr3:uid="{00000000-0010-0000-0300-000001000000}" name="Loading_Order"/>
    <tableColumn id="2" xr3:uid="{00000000-0010-0000-0300-000002000000}" name="Docket_No"/>
    <tableColumn id="3" xr3:uid="{00000000-0010-0000-0300-000003000000}" name="Unload_Priority"/>
    <tableColumn id="4" xr3:uid="{00000000-0010-0000-0300-000004000000}" name="Destination"/>
    <tableColumn id="5" xr3:uid="{00000000-0010-0000-0300-000005000000}" name="Item_Type"/>
    <tableColumn id="6" xr3:uid="{00000000-0010-0000-0300-000006000000}" name="Total_Weight_kg"/>
    <tableColumn id="7" xr3:uid="{00000000-0010-0000-0300-000007000000}" name="Total_Volume_cuft"/>
    <tableColumn id="8" xr3:uid="{00000000-0010-0000-0300-000008000000}" name="Suggested_Zone"/>
    <tableColumn id="9" xr3:uid="{00000000-0010-0000-0300-000009000000}" name="Load_Action"/>
    <tableColumn id="10" xr3:uid="{00000000-0010-0000-0300-00000A000000}" name="Handling_Note"/>
    <tableColumn id="11" xr3:uid="{00000000-0010-0000-0300-00000B000000}" name="X_Zone"/>
    <tableColumn id="12" xr3:uid="{00000000-0010-0000-0300-00000C000000}" name="Y_Zone"/>
    <tableColumn id="13" xr3:uid="{00000000-0010-0000-0300-00000D000000}" name="Z_Level"/>
    <tableColumn id="14" xr3:uid="{00000000-0010-0000-0300-00000E000000}" name="Explan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/>
  </sheetViews>
  <sheetFormatPr baseColWidth="10" defaultColWidth="8.83203125" defaultRowHeight="14"/>
  <cols>
    <col min="1" max="3" width="18" customWidth="1"/>
    <col min="4" max="4" width="7.6640625" customWidth="1"/>
    <col min="5" max="5" width="7.33203125" customWidth="1"/>
    <col min="6" max="6" width="7.6640625" customWidth="1"/>
    <col min="7" max="7" width="12.83203125" customWidth="1"/>
    <col min="8" max="8" width="15.1640625" customWidth="1"/>
    <col min="9" max="9" width="8.5" customWidth="1"/>
    <col min="10" max="10" width="10.83203125" customWidth="1"/>
    <col min="11" max="11" width="18" customWidth="1"/>
  </cols>
  <sheetData>
    <row r="1" spans="1:11" ht="3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ht="15">
      <c r="A2" s="3" t="s">
        <v>11</v>
      </c>
      <c r="B2" s="3" t="s">
        <v>12</v>
      </c>
      <c r="C2" s="3" t="s">
        <v>13</v>
      </c>
      <c r="D2" s="6">
        <v>14</v>
      </c>
      <c r="E2" s="6">
        <v>7.2</v>
      </c>
      <c r="F2" s="6">
        <v>7</v>
      </c>
      <c r="G2" s="7">
        <v>4500</v>
      </c>
      <c r="H2" s="6">
        <f>D2*E2*F2</f>
        <v>705.6</v>
      </c>
      <c r="I2" s="3" t="s">
        <v>14</v>
      </c>
      <c r="J2" s="3" t="s">
        <v>15</v>
      </c>
      <c r="K2" s="3" t="s">
        <v>16</v>
      </c>
    </row>
    <row r="3" spans="1:11" ht="30">
      <c r="A3" s="3" t="s">
        <v>17</v>
      </c>
      <c r="B3" s="3" t="s">
        <v>18</v>
      </c>
      <c r="C3" s="3" t="s">
        <v>19</v>
      </c>
      <c r="D3" s="6">
        <v>17</v>
      </c>
      <c r="E3" s="6">
        <v>7.5</v>
      </c>
      <c r="F3" s="6">
        <v>7.2</v>
      </c>
      <c r="G3" s="7">
        <v>6500</v>
      </c>
      <c r="H3" s="6">
        <f>D3*E3*F3</f>
        <v>918</v>
      </c>
      <c r="I3" s="3" t="s">
        <v>14</v>
      </c>
      <c r="J3" s="3" t="s">
        <v>15</v>
      </c>
      <c r="K3" s="3" t="s">
        <v>20</v>
      </c>
    </row>
    <row r="4" spans="1:11" ht="15">
      <c r="A4" s="3" t="s">
        <v>21</v>
      </c>
      <c r="B4" s="3" t="s">
        <v>22</v>
      </c>
      <c r="C4" s="3" t="s">
        <v>23</v>
      </c>
      <c r="D4" s="6">
        <v>19</v>
      </c>
      <c r="E4" s="6">
        <v>7.5</v>
      </c>
      <c r="F4" s="6">
        <v>7.5</v>
      </c>
      <c r="G4" s="7">
        <v>7500</v>
      </c>
      <c r="H4" s="6">
        <f>D4*E4*F4</f>
        <v>1068.75</v>
      </c>
      <c r="I4" s="3" t="s">
        <v>14</v>
      </c>
      <c r="J4" s="3" t="s">
        <v>15</v>
      </c>
      <c r="K4" s="3" t="s">
        <v>24</v>
      </c>
    </row>
    <row r="5" spans="1:11" ht="15">
      <c r="A5" s="3" t="s">
        <v>25</v>
      </c>
      <c r="B5" s="3" t="s">
        <v>26</v>
      </c>
      <c r="C5" s="3" t="s">
        <v>27</v>
      </c>
      <c r="D5" s="6">
        <v>22</v>
      </c>
      <c r="E5" s="6">
        <v>7.8</v>
      </c>
      <c r="F5" s="6">
        <v>7.8</v>
      </c>
      <c r="G5" s="7">
        <v>9000</v>
      </c>
      <c r="H5" s="6">
        <f>D5*E5*F5</f>
        <v>1338.48</v>
      </c>
      <c r="I5" s="3" t="s">
        <v>14</v>
      </c>
      <c r="J5" s="3" t="s">
        <v>15</v>
      </c>
      <c r="K5" s="3" t="s">
        <v>28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Lists!$E$2:$E$3</xm:f>
          </x14:formula1>
          <xm:sqref>J2:J100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"/>
  <sheetViews>
    <sheetView tabSelected="1" workbookViewId="0">
      <selection activeCell="A8" sqref="A8"/>
    </sheetView>
  </sheetViews>
  <sheetFormatPr baseColWidth="10" defaultColWidth="8.83203125" defaultRowHeight="14"/>
  <cols>
    <col min="1" max="3" width="18" customWidth="1"/>
    <col min="4" max="4" width="7.6640625" customWidth="1"/>
    <col min="5" max="5" width="7.33203125" customWidth="1"/>
    <col min="6" max="6" width="7.6640625" customWidth="1"/>
    <col min="7" max="7" width="14.33203125" customWidth="1"/>
    <col min="8" max="8" width="7.1640625" customWidth="1"/>
    <col min="9" max="9" width="7.83203125" customWidth="1"/>
    <col min="10" max="10" width="5.6640625" customWidth="1"/>
    <col min="11" max="11" width="14.1640625" customWidth="1"/>
    <col min="12" max="12" width="13.1640625" customWidth="1"/>
    <col min="13" max="13" width="14.83203125" customWidth="1"/>
    <col min="14" max="14" width="18" customWidth="1"/>
  </cols>
  <sheetData>
    <row r="1" spans="1:14" ht="32">
      <c r="A1" s="5" t="s">
        <v>29</v>
      </c>
      <c r="B1" s="5" t="s">
        <v>30</v>
      </c>
      <c r="C1" s="5" t="s">
        <v>31</v>
      </c>
      <c r="D1" s="5" t="s">
        <v>3</v>
      </c>
      <c r="E1" s="5" t="s">
        <v>4</v>
      </c>
      <c r="F1" s="5" t="s">
        <v>5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152</v>
      </c>
      <c r="L1" s="5" t="s">
        <v>37</v>
      </c>
      <c r="M1" s="5" t="s">
        <v>38</v>
      </c>
      <c r="N1" s="5" t="s">
        <v>10</v>
      </c>
    </row>
    <row r="2" spans="1:14" ht="15">
      <c r="A2" s="3" t="s">
        <v>39</v>
      </c>
      <c r="B2" s="3" t="s">
        <v>40</v>
      </c>
      <c r="C2" s="3" t="s">
        <v>41</v>
      </c>
      <c r="D2" s="6">
        <v>2</v>
      </c>
      <c r="E2" s="6">
        <v>1.5</v>
      </c>
      <c r="F2" s="6">
        <v>1.4</v>
      </c>
      <c r="G2" s="6">
        <v>28</v>
      </c>
      <c r="H2" s="6">
        <v>12</v>
      </c>
      <c r="I2" s="3" t="s">
        <v>42</v>
      </c>
      <c r="J2" s="3" t="s">
        <v>43</v>
      </c>
      <c r="K2" s="3" t="s">
        <v>43</v>
      </c>
      <c r="L2" s="6">
        <f t="shared" ref="L2:L16" si="0">G2*H2</f>
        <v>336</v>
      </c>
      <c r="M2" s="6">
        <f t="shared" ref="M2:M16" si="1">D2*E2*F2*H2</f>
        <v>50.399999999999991</v>
      </c>
      <c r="N2" s="3" t="s">
        <v>44</v>
      </c>
    </row>
    <row r="3" spans="1:14" ht="15">
      <c r="A3" s="3" t="s">
        <v>45</v>
      </c>
      <c r="B3" s="3" t="s">
        <v>40</v>
      </c>
      <c r="C3" s="3" t="s">
        <v>41</v>
      </c>
      <c r="D3" s="6">
        <v>1.6</v>
      </c>
      <c r="E3" s="6">
        <v>1.2</v>
      </c>
      <c r="F3" s="6">
        <v>1.1000000000000001</v>
      </c>
      <c r="G3" s="6">
        <v>18</v>
      </c>
      <c r="H3" s="6">
        <v>18</v>
      </c>
      <c r="I3" s="3" t="s">
        <v>42</v>
      </c>
      <c r="J3" s="3" t="s">
        <v>43</v>
      </c>
      <c r="K3" s="3" t="s">
        <v>43</v>
      </c>
      <c r="L3" s="6">
        <f t="shared" si="0"/>
        <v>324</v>
      </c>
      <c r="M3" s="6">
        <f t="shared" si="1"/>
        <v>38.016000000000005</v>
      </c>
      <c r="N3" s="3" t="s">
        <v>46</v>
      </c>
    </row>
    <row r="4" spans="1:14" ht="30">
      <c r="A4" s="3" t="s">
        <v>47</v>
      </c>
      <c r="B4" s="3" t="s">
        <v>48</v>
      </c>
      <c r="C4" s="3" t="s">
        <v>49</v>
      </c>
      <c r="D4" s="6">
        <v>4</v>
      </c>
      <c r="E4" s="6">
        <v>3.5</v>
      </c>
      <c r="F4" s="6">
        <v>3.2</v>
      </c>
      <c r="G4" s="6">
        <v>520</v>
      </c>
      <c r="H4" s="6">
        <v>1</v>
      </c>
      <c r="I4" s="3" t="s">
        <v>43</v>
      </c>
      <c r="J4" s="3" t="s">
        <v>43</v>
      </c>
      <c r="K4" s="3" t="s">
        <v>42</v>
      </c>
      <c r="L4" s="6">
        <f t="shared" si="0"/>
        <v>520</v>
      </c>
      <c r="M4" s="6">
        <f t="shared" si="1"/>
        <v>44.800000000000004</v>
      </c>
      <c r="N4" s="3" t="s">
        <v>50</v>
      </c>
    </row>
    <row r="5" spans="1:14" ht="15">
      <c r="A5" s="3" t="s">
        <v>51</v>
      </c>
      <c r="B5" s="3" t="s">
        <v>52</v>
      </c>
      <c r="C5" s="3" t="s">
        <v>53</v>
      </c>
      <c r="D5" s="6">
        <v>2.2000000000000002</v>
      </c>
      <c r="E5" s="6">
        <v>2.2000000000000002</v>
      </c>
      <c r="F5" s="6">
        <v>3.5</v>
      </c>
      <c r="G5" s="6">
        <v>95</v>
      </c>
      <c r="H5" s="6">
        <v>4</v>
      </c>
      <c r="I5" s="3" t="s">
        <v>43</v>
      </c>
      <c r="J5" s="3" t="s">
        <v>43</v>
      </c>
      <c r="K5" s="3" t="s">
        <v>42</v>
      </c>
      <c r="L5" s="6">
        <f t="shared" si="0"/>
        <v>380</v>
      </c>
      <c r="M5" s="6">
        <f t="shared" si="1"/>
        <v>67.760000000000005</v>
      </c>
      <c r="N5" s="3" t="s">
        <v>54</v>
      </c>
    </row>
    <row r="6" spans="1:14" ht="15">
      <c r="A6" s="3" t="s">
        <v>55</v>
      </c>
      <c r="B6" s="3" t="s">
        <v>40</v>
      </c>
      <c r="C6" s="3" t="s">
        <v>41</v>
      </c>
      <c r="D6" s="6">
        <v>2.4</v>
      </c>
      <c r="E6" s="6">
        <v>1.8</v>
      </c>
      <c r="F6" s="6">
        <v>1.6</v>
      </c>
      <c r="G6" s="6">
        <v>36</v>
      </c>
      <c r="H6" s="6">
        <v>10</v>
      </c>
      <c r="I6" s="3" t="s">
        <v>42</v>
      </c>
      <c r="J6" s="3" t="s">
        <v>42</v>
      </c>
      <c r="K6" s="3" t="s">
        <v>43</v>
      </c>
      <c r="L6" s="6">
        <f t="shared" si="0"/>
        <v>360</v>
      </c>
      <c r="M6" s="6">
        <f t="shared" si="1"/>
        <v>69.12</v>
      </c>
      <c r="N6" s="3" t="s">
        <v>56</v>
      </c>
    </row>
    <row r="7" spans="1:14" ht="15">
      <c r="A7" s="3" t="s">
        <v>57</v>
      </c>
      <c r="B7" s="3" t="s">
        <v>58</v>
      </c>
      <c r="C7" s="3" t="s">
        <v>59</v>
      </c>
      <c r="D7" s="6">
        <v>3.2</v>
      </c>
      <c r="E7" s="6">
        <v>2.8</v>
      </c>
      <c r="F7" s="6">
        <v>2.4</v>
      </c>
      <c r="G7" s="6">
        <v>180</v>
      </c>
      <c r="H7" s="6">
        <v>2</v>
      </c>
      <c r="I7" s="3" t="s">
        <v>43</v>
      </c>
      <c r="J7" s="3" t="s">
        <v>42</v>
      </c>
      <c r="K7" s="3" t="s">
        <v>42</v>
      </c>
      <c r="L7" s="6">
        <f t="shared" si="0"/>
        <v>360</v>
      </c>
      <c r="M7" s="6">
        <f t="shared" si="1"/>
        <v>43.007999999999996</v>
      </c>
      <c r="N7" s="3" t="s">
        <v>60</v>
      </c>
    </row>
    <row r="8" spans="1:14" ht="15">
      <c r="A8" s="3" t="s">
        <v>61</v>
      </c>
      <c r="B8" s="3" t="s">
        <v>62</v>
      </c>
      <c r="C8" s="3" t="s">
        <v>41</v>
      </c>
      <c r="D8" s="6">
        <v>1.8</v>
      </c>
      <c r="E8" s="6">
        <v>1.5</v>
      </c>
      <c r="F8" s="6">
        <v>1.2</v>
      </c>
      <c r="G8" s="6">
        <v>22</v>
      </c>
      <c r="H8" s="6">
        <v>16</v>
      </c>
      <c r="I8" s="3" t="s">
        <v>42</v>
      </c>
      <c r="J8" s="3" t="s">
        <v>43</v>
      </c>
      <c r="K8" s="3" t="s">
        <v>43</v>
      </c>
      <c r="L8" s="6">
        <f t="shared" si="0"/>
        <v>352</v>
      </c>
      <c r="M8" s="6">
        <f t="shared" si="1"/>
        <v>51.84</v>
      </c>
      <c r="N8" s="3" t="s">
        <v>63</v>
      </c>
    </row>
    <row r="9" spans="1:14" ht="15">
      <c r="A9" s="3" t="s">
        <v>64</v>
      </c>
      <c r="B9" s="3" t="s">
        <v>65</v>
      </c>
      <c r="C9" s="3" t="s">
        <v>49</v>
      </c>
      <c r="D9" s="6">
        <v>4.2</v>
      </c>
      <c r="E9" s="6">
        <v>3.6</v>
      </c>
      <c r="F9" s="6">
        <v>3.4</v>
      </c>
      <c r="G9" s="6">
        <v>610</v>
      </c>
      <c r="H9" s="6">
        <v>1</v>
      </c>
      <c r="I9" s="3" t="s">
        <v>43</v>
      </c>
      <c r="J9" s="3" t="s">
        <v>43</v>
      </c>
      <c r="K9" s="3" t="s">
        <v>42</v>
      </c>
      <c r="L9" s="6">
        <f t="shared" si="0"/>
        <v>610</v>
      </c>
      <c r="M9" s="6">
        <f t="shared" si="1"/>
        <v>51.408000000000001</v>
      </c>
      <c r="N9" s="3" t="s">
        <v>66</v>
      </c>
    </row>
    <row r="10" spans="1:14" ht="15">
      <c r="A10" s="3" t="s">
        <v>67</v>
      </c>
      <c r="B10" s="3" t="s">
        <v>65</v>
      </c>
      <c r="C10" s="3" t="s">
        <v>41</v>
      </c>
      <c r="D10" s="6">
        <v>2.1</v>
      </c>
      <c r="E10" s="6">
        <v>1.6</v>
      </c>
      <c r="F10" s="6">
        <v>1.5</v>
      </c>
      <c r="G10" s="6">
        <v>30</v>
      </c>
      <c r="H10" s="6">
        <v>14</v>
      </c>
      <c r="I10" s="3" t="s">
        <v>42</v>
      </c>
      <c r="J10" s="3" t="s">
        <v>43</v>
      </c>
      <c r="K10" s="3" t="s">
        <v>43</v>
      </c>
      <c r="L10" s="6">
        <f t="shared" si="0"/>
        <v>420</v>
      </c>
      <c r="M10" s="6">
        <f t="shared" si="1"/>
        <v>70.560000000000016</v>
      </c>
      <c r="N10" s="3" t="s">
        <v>68</v>
      </c>
    </row>
    <row r="11" spans="1:14" ht="15">
      <c r="A11" s="3" t="s">
        <v>69</v>
      </c>
      <c r="B11" s="3" t="s">
        <v>48</v>
      </c>
      <c r="C11" s="3" t="s">
        <v>70</v>
      </c>
      <c r="D11" s="6">
        <v>3</v>
      </c>
      <c r="E11" s="6">
        <v>2</v>
      </c>
      <c r="F11" s="6">
        <v>2.8</v>
      </c>
      <c r="G11" s="6">
        <v>115</v>
      </c>
      <c r="H11" s="6">
        <v>3</v>
      </c>
      <c r="I11" s="3" t="s">
        <v>43</v>
      </c>
      <c r="J11" s="3" t="s">
        <v>43</v>
      </c>
      <c r="K11" s="3" t="s">
        <v>42</v>
      </c>
      <c r="L11" s="6">
        <f t="shared" si="0"/>
        <v>345</v>
      </c>
      <c r="M11" s="6">
        <f t="shared" si="1"/>
        <v>50.399999999999991</v>
      </c>
      <c r="N11" s="3" t="s">
        <v>71</v>
      </c>
    </row>
    <row r="12" spans="1:14" ht="30">
      <c r="A12" s="3" t="s">
        <v>72</v>
      </c>
      <c r="B12" s="3" t="s">
        <v>52</v>
      </c>
      <c r="C12" s="3" t="s">
        <v>41</v>
      </c>
      <c r="D12" s="6">
        <v>2.6</v>
      </c>
      <c r="E12" s="6">
        <v>2</v>
      </c>
      <c r="F12" s="6">
        <v>1.5</v>
      </c>
      <c r="G12" s="6">
        <v>42</v>
      </c>
      <c r="H12" s="6">
        <v>9</v>
      </c>
      <c r="I12" s="3" t="s">
        <v>42</v>
      </c>
      <c r="J12" s="3" t="s">
        <v>42</v>
      </c>
      <c r="K12" s="3" t="s">
        <v>43</v>
      </c>
      <c r="L12" s="6">
        <f t="shared" si="0"/>
        <v>378</v>
      </c>
      <c r="M12" s="6">
        <f t="shared" si="1"/>
        <v>70.2</v>
      </c>
      <c r="N12" s="3" t="s">
        <v>73</v>
      </c>
    </row>
    <row r="13" spans="1:14" ht="15">
      <c r="A13" s="3" t="s">
        <v>74</v>
      </c>
      <c r="B13" s="3" t="s">
        <v>40</v>
      </c>
      <c r="C13" s="3" t="s">
        <v>41</v>
      </c>
      <c r="D13" s="6">
        <v>1.5</v>
      </c>
      <c r="E13" s="6">
        <v>1.3</v>
      </c>
      <c r="F13" s="6">
        <v>1</v>
      </c>
      <c r="G13" s="6">
        <v>16</v>
      </c>
      <c r="H13" s="6">
        <v>24</v>
      </c>
      <c r="I13" s="3" t="s">
        <v>42</v>
      </c>
      <c r="J13" s="3" t="s">
        <v>43</v>
      </c>
      <c r="K13" s="3" t="s">
        <v>43</v>
      </c>
      <c r="L13" s="6">
        <f t="shared" si="0"/>
        <v>384</v>
      </c>
      <c r="M13" s="6">
        <f t="shared" si="1"/>
        <v>46.800000000000004</v>
      </c>
      <c r="N13" s="3" t="s">
        <v>75</v>
      </c>
    </row>
    <row r="14" spans="1:14" ht="30">
      <c r="A14" s="3" t="s">
        <v>76</v>
      </c>
      <c r="B14" s="3" t="s">
        <v>58</v>
      </c>
      <c r="C14" s="3" t="s">
        <v>53</v>
      </c>
      <c r="D14" s="6">
        <v>2.2999999999999998</v>
      </c>
      <c r="E14" s="6">
        <v>2.2999999999999998</v>
      </c>
      <c r="F14" s="6">
        <v>3.2</v>
      </c>
      <c r="G14" s="6">
        <v>88</v>
      </c>
      <c r="H14" s="6">
        <v>5</v>
      </c>
      <c r="I14" s="3" t="s">
        <v>43</v>
      </c>
      <c r="J14" s="3" t="s">
        <v>43</v>
      </c>
      <c r="K14" s="3" t="s">
        <v>42</v>
      </c>
      <c r="L14" s="6">
        <f t="shared" si="0"/>
        <v>440</v>
      </c>
      <c r="M14" s="6">
        <f t="shared" si="1"/>
        <v>84.639999999999986</v>
      </c>
      <c r="N14" s="3" t="s">
        <v>77</v>
      </c>
    </row>
    <row r="15" spans="1:14" ht="30">
      <c r="A15" s="3" t="s">
        <v>78</v>
      </c>
      <c r="B15" s="3" t="s">
        <v>62</v>
      </c>
      <c r="C15" s="3" t="s">
        <v>49</v>
      </c>
      <c r="D15" s="6">
        <v>3.8</v>
      </c>
      <c r="E15" s="6">
        <v>3.2</v>
      </c>
      <c r="F15" s="6">
        <v>3</v>
      </c>
      <c r="G15" s="6">
        <v>480</v>
      </c>
      <c r="H15" s="6">
        <v>1</v>
      </c>
      <c r="I15" s="3" t="s">
        <v>43</v>
      </c>
      <c r="J15" s="3" t="s">
        <v>43</v>
      </c>
      <c r="K15" s="3" t="s">
        <v>42</v>
      </c>
      <c r="L15" s="6">
        <f t="shared" si="0"/>
        <v>480</v>
      </c>
      <c r="M15" s="6">
        <f t="shared" si="1"/>
        <v>36.480000000000004</v>
      </c>
      <c r="N15" s="3" t="s">
        <v>79</v>
      </c>
    </row>
    <row r="16" spans="1:14" ht="15">
      <c r="A16" s="3" t="s">
        <v>80</v>
      </c>
      <c r="B16" s="3" t="s">
        <v>65</v>
      </c>
      <c r="C16" s="3" t="s">
        <v>41</v>
      </c>
      <c r="D16" s="6">
        <v>2</v>
      </c>
      <c r="E16" s="6">
        <v>1.8</v>
      </c>
      <c r="F16" s="6">
        <v>1.2</v>
      </c>
      <c r="G16" s="6">
        <v>24</v>
      </c>
      <c r="H16" s="6">
        <v>20</v>
      </c>
      <c r="I16" s="3" t="s">
        <v>42</v>
      </c>
      <c r="J16" s="3" t="s">
        <v>43</v>
      </c>
      <c r="K16" s="3" t="s">
        <v>43</v>
      </c>
      <c r="L16" s="6">
        <f t="shared" si="0"/>
        <v>480</v>
      </c>
      <c r="M16" s="6">
        <f t="shared" si="1"/>
        <v>86.4</v>
      </c>
      <c r="N16" s="3" t="s">
        <v>81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200-000000000000}">
          <x14:formula1>
            <xm:f>Lists!$A$2:$A$6</xm:f>
          </x14:formula1>
          <xm:sqref>C2:C200</xm:sqref>
        </x14:dataValidation>
        <x14:dataValidation type="list" xr:uid="{00000000-0002-0000-0200-000001000000}">
          <x14:formula1>
            <xm:f>Lists!$B$2:$B$3</xm:f>
          </x14:formula1>
          <xm:sqref>I2:I200</xm:sqref>
        </x14:dataValidation>
        <x14:dataValidation type="list" xr:uid="{00000000-0002-0000-0200-000002000000}">
          <x14:formula1>
            <xm:f>Lists!$C$2:$C$3</xm:f>
          </x14:formula1>
          <xm:sqref>J2:J200</xm:sqref>
        </x14:dataValidation>
        <x14:dataValidation type="list" xr:uid="{00000000-0002-0000-0200-000003000000}">
          <x14:formula1>
            <xm:f>Lists!$D$2:$D$3</xm:f>
          </x14:formula1>
          <xm:sqref>K2:K200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9"/>
  <sheetViews>
    <sheetView topLeftCell="A11" workbookViewId="0">
      <selection sqref="A1:U1"/>
    </sheetView>
  </sheetViews>
  <sheetFormatPr baseColWidth="10" defaultColWidth="8.83203125" defaultRowHeight="14"/>
  <cols>
    <col min="1" max="1" width="80.83203125" customWidth="1"/>
    <col min="2" max="2" width="19" customWidth="1"/>
    <col min="3" max="3" width="12.6640625" customWidth="1"/>
    <col min="4" max="5" width="19" customWidth="1"/>
    <col min="6" max="6" width="19.1640625" customWidth="1"/>
    <col min="7" max="7" width="7.33203125" customWidth="1"/>
    <col min="8" max="8" width="21.6640625" customWidth="1"/>
    <col min="9" max="9" width="14.33203125" customWidth="1"/>
    <col min="10" max="10" width="7.1640625" customWidth="1"/>
    <col min="11" max="11" width="7.83203125" customWidth="1"/>
    <col min="12" max="12" width="5.6640625" customWidth="1"/>
    <col min="13" max="13" width="14.1640625" customWidth="1"/>
    <col min="14" max="14" width="13.1640625" customWidth="1"/>
    <col min="15" max="15" width="14.83203125" customWidth="1"/>
    <col min="16" max="16" width="20.5" customWidth="1"/>
    <col min="17" max="18" width="19" customWidth="1"/>
    <col min="19" max="19" width="20" customWidth="1"/>
    <col min="20" max="20" width="7.83203125" customWidth="1"/>
    <col min="21" max="21" width="19" customWidth="1"/>
  </cols>
  <sheetData>
    <row r="1" spans="1:21" ht="19">
      <c r="A1" s="14" t="s">
        <v>82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3" spans="1:21" ht="15">
      <c r="A3" s="1" t="s">
        <v>0</v>
      </c>
      <c r="B3" t="s">
        <v>17</v>
      </c>
      <c r="D3" s="1" t="s">
        <v>83</v>
      </c>
      <c r="E3" t="str">
        <f>IFERROR(VLOOKUP($B$3,Truck_Master!$A:$K,3,FALSE),"")</f>
        <v>17 ft Eicher</v>
      </c>
      <c r="F3" s="1" t="s">
        <v>84</v>
      </c>
      <c r="G3">
        <f>IFERROR(VLOOKUP($B$3,Truck_Master!$A:$K,7,FALSE),"")</f>
        <v>6500</v>
      </c>
      <c r="H3" s="1" t="s">
        <v>85</v>
      </c>
      <c r="I3">
        <f>IFERROR(VLOOKUP($B$3,Truck_Master!$A:$K,8,FALSE),"")</f>
        <v>918</v>
      </c>
    </row>
    <row r="4" spans="1:21" ht="15">
      <c r="A4" s="1" t="s">
        <v>86</v>
      </c>
      <c r="B4" s="8">
        <v>46196</v>
      </c>
      <c r="D4" s="1" t="s">
        <v>87</v>
      </c>
      <c r="E4">
        <f>SUMPRODUCT(--($B$10:$B$29&lt;&gt;""))</f>
        <v>8</v>
      </c>
      <c r="F4" s="1" t="s">
        <v>88</v>
      </c>
      <c r="G4">
        <f>SUM($N$10:$N$29)</f>
        <v>3497</v>
      </c>
      <c r="H4" s="1" t="s">
        <v>89</v>
      </c>
      <c r="I4" s="10">
        <f>SUM($O$10:$O$29)</f>
        <v>439.76800000000003</v>
      </c>
    </row>
    <row r="5" spans="1:21" ht="15">
      <c r="A5" s="1" t="s">
        <v>90</v>
      </c>
      <c r="B5" t="s">
        <v>91</v>
      </c>
      <c r="D5" s="1" t="s">
        <v>92</v>
      </c>
      <c r="E5">
        <f>IFERROR($G$4/$G$3,0)</f>
        <v>0.53800000000000003</v>
      </c>
      <c r="F5" s="1" t="s">
        <v>93</v>
      </c>
      <c r="G5" s="9">
        <f>IFERROR($I$4/$I$3,0)</f>
        <v>0.47905010893246192</v>
      </c>
      <c r="H5" s="1" t="s">
        <v>94</v>
      </c>
      <c r="I5" s="11" t="str">
        <f>IF(OR($G$4&gt;$G$3,$I$4&gt;$I$3),"Review Required","Feasible")</f>
        <v>Feasible</v>
      </c>
    </row>
    <row r="6" spans="1:21" ht="42.75" customHeight="1">
      <c r="A6" s="17" t="s">
        <v>95</v>
      </c>
      <c r="B6" s="15"/>
      <c r="C6" s="15"/>
      <c r="D6" s="15"/>
      <c r="E6" s="15"/>
      <c r="F6" s="15"/>
      <c r="G6" s="15"/>
      <c r="H6" s="15"/>
      <c r="I6" s="15"/>
    </row>
    <row r="7" spans="1:21" ht="15">
      <c r="A7" s="16" t="s">
        <v>96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</row>
    <row r="9" spans="1:21" ht="32">
      <c r="A9" s="5" t="s">
        <v>97</v>
      </c>
      <c r="B9" s="5" t="s">
        <v>29</v>
      </c>
      <c r="C9" s="5" t="s">
        <v>98</v>
      </c>
      <c r="D9" s="5" t="s">
        <v>30</v>
      </c>
      <c r="E9" s="5" t="s">
        <v>31</v>
      </c>
      <c r="F9" s="5" t="s">
        <v>3</v>
      </c>
      <c r="G9" s="5" t="s">
        <v>4</v>
      </c>
      <c r="H9" s="5" t="s">
        <v>5</v>
      </c>
      <c r="I9" s="5" t="s">
        <v>32</v>
      </c>
      <c r="J9" s="5" t="s">
        <v>33</v>
      </c>
      <c r="K9" s="5" t="s">
        <v>34</v>
      </c>
      <c r="L9" s="5" t="s">
        <v>35</v>
      </c>
      <c r="M9" s="5" t="s">
        <v>36</v>
      </c>
      <c r="N9" s="5" t="s">
        <v>37</v>
      </c>
      <c r="O9" s="5" t="s">
        <v>38</v>
      </c>
      <c r="P9" s="5" t="s">
        <v>99</v>
      </c>
      <c r="Q9" s="5" t="s">
        <v>100</v>
      </c>
      <c r="R9" s="5" t="s">
        <v>101</v>
      </c>
      <c r="S9" s="5" t="s">
        <v>102</v>
      </c>
      <c r="T9" s="5" t="s">
        <v>103</v>
      </c>
      <c r="U9" s="5" t="s">
        <v>10</v>
      </c>
    </row>
    <row r="10" spans="1:21" ht="15">
      <c r="A10" s="3">
        <v>1</v>
      </c>
      <c r="B10" s="3" t="s">
        <v>47</v>
      </c>
      <c r="C10" s="3">
        <v>4</v>
      </c>
      <c r="D10" s="3" t="str">
        <f>IFERROR(VLOOKUP($B10,Docket_Master!$A:$N,2,FALSE),"")</f>
        <v>Ghaziabad</v>
      </c>
      <c r="E10" s="3" t="str">
        <f>IFERROR(VLOOKUP($B10,Docket_Master!$A:$N,3,FALSE),"")</f>
        <v>Pallet</v>
      </c>
      <c r="F10" s="6">
        <f>IFERROR(VLOOKUP($B10,Docket_Master!$A:$N,4,FALSE),"")</f>
        <v>4</v>
      </c>
      <c r="G10" s="6">
        <f>IFERROR(VLOOKUP($B10,Docket_Master!$A:$N,5,FALSE),"")</f>
        <v>3.5</v>
      </c>
      <c r="H10" s="6">
        <f>IFERROR(VLOOKUP($B10,Docket_Master!$A:$N,6,FALSE),"")</f>
        <v>3.2</v>
      </c>
      <c r="I10" s="6">
        <f>IFERROR(VLOOKUP($B10,Docket_Master!$A:$N,7,FALSE),"")</f>
        <v>520</v>
      </c>
      <c r="J10" s="3">
        <f>IFERROR(VLOOKUP($B10,Docket_Master!$A:$N,8,FALSE),"")</f>
        <v>1</v>
      </c>
      <c r="K10" s="3" t="str">
        <f>IFERROR(VLOOKUP($B10,Docket_Master!$A:$N,9,FALSE),"")</f>
        <v>No</v>
      </c>
      <c r="L10" s="3" t="str">
        <f>IFERROR(VLOOKUP($B10,Docket_Master!$A:$N,10,FALSE),"")</f>
        <v>No</v>
      </c>
      <c r="M10" s="3" t="str">
        <f>IFERROR(VLOOKUP($B10,Docket_Master!$A:$N,11,FALSE),"")</f>
        <v>Yes</v>
      </c>
      <c r="N10" s="6">
        <f>IFERROR(VLOOKUP($B10,Docket_Master!$A:$N,12,FALSE),"")</f>
        <v>520</v>
      </c>
      <c r="O10" s="6">
        <f>IFERROR(VLOOKUP($B10,Docket_Master!$A:$N,13,FALSE),"")</f>
        <v>44.800000000000004</v>
      </c>
      <c r="P10" s="3">
        <f>IF($B10="","",COUNTIFS($C$10:$C$29,"&gt;"&amp;$C10,$B$10:$B$29,"&lt;&gt;")+COUNTIFS($C$10:$C10,$C10,$B$10:$B10,"&lt;&gt;"))</f>
        <v>2</v>
      </c>
      <c r="Q10" s="3" t="str">
        <f t="shared" ref="Q10:Q29" si="0">IF($B10="","",IF($C10=1,"Rear / Near Door",IF($C10=MAX($C$10:$C$29),"Front / Deep Inside","Middle Zone")))</f>
        <v>Middle Zone</v>
      </c>
      <c r="R10" s="3" t="e">
        <f ca="1">IF($B10="","",_xludf.TEXTJOIN("; ",TRUE,IF($K10="No","Non-stackable: floor placement",""),IF($L10="Yes","Fragile: avoid stacking",""),IF($M10="Yes","Keep upright","")))</f>
        <v>#NAME?</v>
      </c>
      <c r="S10" s="3" t="str">
        <f>IF($B10="","",IF(COUNTIF(Docket_Master!$A:$A,$B10)&gt;0,"Found","Missing in Docket_Master"))</f>
        <v>Found</v>
      </c>
      <c r="T10" s="3" t="str">
        <f t="shared" ref="T10:T29" si="1">IF($B10="","",IF(OR($N10&gt;$G$3,$O10&gt;$I$3),"Item exceeds truck capacity","OK"))</f>
        <v>OK</v>
      </c>
      <c r="U10" s="3" t="str">
        <f t="shared" ref="U10:U29" si="2">IF($B10="","",IF($C10=1,"Unload first, therefore load last",""))</f>
        <v/>
      </c>
    </row>
    <row r="11" spans="1:21" ht="30">
      <c r="A11" s="3">
        <v>2</v>
      </c>
      <c r="B11" s="3" t="s">
        <v>55</v>
      </c>
      <c r="C11" s="3">
        <v>1</v>
      </c>
      <c r="D11" s="3" t="str">
        <f>IFERROR(VLOOKUP($B11,Docket_Master!$A:$N,2,FALSE),"")</f>
        <v>Noida</v>
      </c>
      <c r="E11" s="3" t="str">
        <f>IFERROR(VLOOKUP($B11,Docket_Master!$A:$N,3,FALSE),"")</f>
        <v>Carton</v>
      </c>
      <c r="F11" s="6">
        <f>IFERROR(VLOOKUP($B11,Docket_Master!$A:$N,4,FALSE),"")</f>
        <v>2.4</v>
      </c>
      <c r="G11" s="6">
        <f>IFERROR(VLOOKUP($B11,Docket_Master!$A:$N,5,FALSE),"")</f>
        <v>1.8</v>
      </c>
      <c r="H11" s="6">
        <f>IFERROR(VLOOKUP($B11,Docket_Master!$A:$N,6,FALSE),"")</f>
        <v>1.6</v>
      </c>
      <c r="I11" s="6">
        <f>IFERROR(VLOOKUP($B11,Docket_Master!$A:$N,7,FALSE),"")</f>
        <v>36</v>
      </c>
      <c r="J11" s="3">
        <f>IFERROR(VLOOKUP($B11,Docket_Master!$A:$N,8,FALSE),"")</f>
        <v>10</v>
      </c>
      <c r="K11" s="3" t="str">
        <f>IFERROR(VLOOKUP($B11,Docket_Master!$A:$N,9,FALSE),"")</f>
        <v>Yes</v>
      </c>
      <c r="L11" s="3" t="str">
        <f>IFERROR(VLOOKUP($B11,Docket_Master!$A:$N,10,FALSE),"")</f>
        <v>Yes</v>
      </c>
      <c r="M11" s="3" t="str">
        <f>IFERROR(VLOOKUP($B11,Docket_Master!$A:$N,11,FALSE),"")</f>
        <v>No</v>
      </c>
      <c r="N11" s="6">
        <f>IFERROR(VLOOKUP($B11,Docket_Master!$A:$N,12,FALSE),"")</f>
        <v>360</v>
      </c>
      <c r="O11" s="6">
        <f>IFERROR(VLOOKUP($B11,Docket_Master!$A:$N,13,FALSE),"")</f>
        <v>69.12</v>
      </c>
      <c r="P11" s="3">
        <f>IF($B11="","",COUNTIFS($C$10:$C$29,"&gt;"&amp;$C11,$B$10:$B$29,"&lt;&gt;")+COUNTIFS($C$10:$C11,$C11,$B$10:$B11,"&lt;&gt;"))</f>
        <v>7</v>
      </c>
      <c r="Q11" s="3" t="str">
        <f t="shared" si="0"/>
        <v>Rear / Near Door</v>
      </c>
      <c r="R11" s="3" t="e">
        <f ca="1">IF($B11="","",_xludf.TEXTJOIN("; ",TRUE,IF($K11="No","Non-stackable: floor placement",""),IF($L11="Yes","Fragile: avoid stacking",""),IF($M11="Yes","Keep upright","")))</f>
        <v>#NAME?</v>
      </c>
      <c r="S11" s="3" t="str">
        <f>IF($B11="","",IF(COUNTIF(Docket_Master!$A:$A,$B11)&gt;0,"Found","Missing in Docket_Master"))</f>
        <v>Found</v>
      </c>
      <c r="T11" s="3" t="str">
        <f t="shared" si="1"/>
        <v>OK</v>
      </c>
      <c r="U11" s="3" t="str">
        <f t="shared" si="2"/>
        <v>Unload first, therefore load last</v>
      </c>
    </row>
    <row r="12" spans="1:21" ht="15">
      <c r="A12" s="3">
        <v>3</v>
      </c>
      <c r="B12" s="3" t="s">
        <v>64</v>
      </c>
      <c r="C12" s="3">
        <v>5</v>
      </c>
      <c r="D12" s="3" t="str">
        <f>IFERROR(VLOOKUP($B12,Docket_Master!$A:$N,2,FALSE),"")</f>
        <v>Delhi</v>
      </c>
      <c r="E12" s="3" t="str">
        <f>IFERROR(VLOOKUP($B12,Docket_Master!$A:$N,3,FALSE),"")</f>
        <v>Pallet</v>
      </c>
      <c r="F12" s="6">
        <f>IFERROR(VLOOKUP($B12,Docket_Master!$A:$N,4,FALSE),"")</f>
        <v>4.2</v>
      </c>
      <c r="G12" s="6">
        <f>IFERROR(VLOOKUP($B12,Docket_Master!$A:$N,5,FALSE),"")</f>
        <v>3.6</v>
      </c>
      <c r="H12" s="6">
        <f>IFERROR(VLOOKUP($B12,Docket_Master!$A:$N,6,FALSE),"")</f>
        <v>3.4</v>
      </c>
      <c r="I12" s="6">
        <f>IFERROR(VLOOKUP($B12,Docket_Master!$A:$N,7,FALSE),"")</f>
        <v>610</v>
      </c>
      <c r="J12" s="3">
        <f>IFERROR(VLOOKUP($B12,Docket_Master!$A:$N,8,FALSE),"")</f>
        <v>1</v>
      </c>
      <c r="K12" s="3" t="str">
        <f>IFERROR(VLOOKUP($B12,Docket_Master!$A:$N,9,FALSE),"")</f>
        <v>No</v>
      </c>
      <c r="L12" s="3" t="str">
        <f>IFERROR(VLOOKUP($B12,Docket_Master!$A:$N,10,FALSE),"")</f>
        <v>No</v>
      </c>
      <c r="M12" s="3" t="str">
        <f>IFERROR(VLOOKUP($B12,Docket_Master!$A:$N,11,FALSE),"")</f>
        <v>Yes</v>
      </c>
      <c r="N12" s="6">
        <f>IFERROR(VLOOKUP($B12,Docket_Master!$A:$N,12,FALSE),"")</f>
        <v>610</v>
      </c>
      <c r="O12" s="6">
        <f>IFERROR(VLOOKUP($B12,Docket_Master!$A:$N,13,FALSE),"")</f>
        <v>51.408000000000001</v>
      </c>
      <c r="P12" s="3">
        <f>IF($B12="","",COUNTIFS($C$10:$C$29,"&gt;"&amp;$C12,$B$10:$B$29,"&lt;&gt;")+COUNTIFS($C$10:$C12,$C12,$B$10:$B12,"&lt;&gt;"))</f>
        <v>1</v>
      </c>
      <c r="Q12" s="3" t="str">
        <f t="shared" si="0"/>
        <v>Front / Deep Inside</v>
      </c>
      <c r="R12" s="3" t="e">
        <f ca="1">IF($B12="","",_xludf.TEXTJOIN("; ",TRUE,IF($K12="No","Non-stackable: floor placement",""),IF($L12="Yes","Fragile: avoid stacking",""),IF($M12="Yes","Keep upright","")))</f>
        <v>#NAME?</v>
      </c>
      <c r="S12" s="3" t="str">
        <f>IF($B12="","",IF(COUNTIF(Docket_Master!$A:$A,$B12)&gt;0,"Found","Missing in Docket_Master"))</f>
        <v>Found</v>
      </c>
      <c r="T12" s="3" t="str">
        <f t="shared" si="1"/>
        <v>OK</v>
      </c>
      <c r="U12" s="3" t="str">
        <f t="shared" si="2"/>
        <v/>
      </c>
    </row>
    <row r="13" spans="1:21" ht="15">
      <c r="A13" s="3">
        <v>4</v>
      </c>
      <c r="B13" s="3" t="s">
        <v>67</v>
      </c>
      <c r="C13" s="3">
        <v>2</v>
      </c>
      <c r="D13" s="3" t="str">
        <f>IFERROR(VLOOKUP($B13,Docket_Master!$A:$N,2,FALSE),"")</f>
        <v>Delhi</v>
      </c>
      <c r="E13" s="3" t="str">
        <f>IFERROR(VLOOKUP($B13,Docket_Master!$A:$N,3,FALSE),"")</f>
        <v>Carton</v>
      </c>
      <c r="F13" s="6">
        <f>IFERROR(VLOOKUP($B13,Docket_Master!$A:$N,4,FALSE),"")</f>
        <v>2.1</v>
      </c>
      <c r="G13" s="6">
        <f>IFERROR(VLOOKUP($B13,Docket_Master!$A:$N,5,FALSE),"")</f>
        <v>1.6</v>
      </c>
      <c r="H13" s="6">
        <f>IFERROR(VLOOKUP($B13,Docket_Master!$A:$N,6,FALSE),"")</f>
        <v>1.5</v>
      </c>
      <c r="I13" s="6">
        <f>IFERROR(VLOOKUP($B13,Docket_Master!$A:$N,7,FALSE),"")</f>
        <v>30</v>
      </c>
      <c r="J13" s="3">
        <f>IFERROR(VLOOKUP($B13,Docket_Master!$A:$N,8,FALSE),"")</f>
        <v>14</v>
      </c>
      <c r="K13" s="3" t="str">
        <f>IFERROR(VLOOKUP($B13,Docket_Master!$A:$N,9,FALSE),"")</f>
        <v>Yes</v>
      </c>
      <c r="L13" s="3" t="str">
        <f>IFERROR(VLOOKUP($B13,Docket_Master!$A:$N,10,FALSE),"")</f>
        <v>No</v>
      </c>
      <c r="M13" s="3" t="str">
        <f>IFERROR(VLOOKUP($B13,Docket_Master!$A:$N,11,FALSE),"")</f>
        <v>No</v>
      </c>
      <c r="N13" s="6">
        <f>IFERROR(VLOOKUP($B13,Docket_Master!$A:$N,12,FALSE),"")</f>
        <v>420</v>
      </c>
      <c r="O13" s="6">
        <f>IFERROR(VLOOKUP($B13,Docket_Master!$A:$N,13,FALSE),"")</f>
        <v>70.560000000000016</v>
      </c>
      <c r="P13" s="3">
        <f>IF($B13="","",COUNTIFS($C$10:$C$29,"&gt;"&amp;$C13,$B$10:$B$29,"&lt;&gt;")+COUNTIFS($C$10:$C13,$C13,$B$10:$B13,"&lt;&gt;"))</f>
        <v>5</v>
      </c>
      <c r="Q13" s="3" t="str">
        <f t="shared" si="0"/>
        <v>Middle Zone</v>
      </c>
      <c r="R13" s="3" t="e">
        <f ca="1">IF($B13="","",_xludf.TEXTJOIN("; ",TRUE,IF($K13="No","Non-stackable: floor placement",""),IF($L13="Yes","Fragile: avoid stacking",""),IF($M13="Yes","Keep upright","")))</f>
        <v>#NAME?</v>
      </c>
      <c r="S13" s="3" t="str">
        <f>IF($B13="","",IF(COUNTIF(Docket_Master!$A:$A,$B13)&gt;0,"Found","Missing in Docket_Master"))</f>
        <v>Found</v>
      </c>
      <c r="T13" s="3" t="str">
        <f t="shared" si="1"/>
        <v>OK</v>
      </c>
      <c r="U13" s="3" t="str">
        <f t="shared" si="2"/>
        <v/>
      </c>
    </row>
    <row r="14" spans="1:21" ht="15">
      <c r="A14" s="3">
        <v>5</v>
      </c>
      <c r="B14" s="3" t="s">
        <v>69</v>
      </c>
      <c r="C14" s="3">
        <v>3</v>
      </c>
      <c r="D14" s="3" t="str">
        <f>IFERROR(VLOOKUP($B14,Docket_Master!$A:$N,2,FALSE),"")</f>
        <v>Ghaziabad</v>
      </c>
      <c r="E14" s="3" t="str">
        <f>IFERROR(VLOOKUP($B14,Docket_Master!$A:$N,3,FALSE),"")</f>
        <v>Others</v>
      </c>
      <c r="F14" s="6">
        <f>IFERROR(VLOOKUP($B14,Docket_Master!$A:$N,4,FALSE),"")</f>
        <v>3</v>
      </c>
      <c r="G14" s="6">
        <f>IFERROR(VLOOKUP($B14,Docket_Master!$A:$N,5,FALSE),"")</f>
        <v>2</v>
      </c>
      <c r="H14" s="6">
        <f>IFERROR(VLOOKUP($B14,Docket_Master!$A:$N,6,FALSE),"")</f>
        <v>2.8</v>
      </c>
      <c r="I14" s="6">
        <f>IFERROR(VLOOKUP($B14,Docket_Master!$A:$N,7,FALSE),"")</f>
        <v>115</v>
      </c>
      <c r="J14" s="3">
        <f>IFERROR(VLOOKUP($B14,Docket_Master!$A:$N,8,FALSE),"")</f>
        <v>3</v>
      </c>
      <c r="K14" s="3" t="str">
        <f>IFERROR(VLOOKUP($B14,Docket_Master!$A:$N,9,FALSE),"")</f>
        <v>No</v>
      </c>
      <c r="L14" s="3" t="str">
        <f>IFERROR(VLOOKUP($B14,Docket_Master!$A:$N,10,FALSE),"")</f>
        <v>No</v>
      </c>
      <c r="M14" s="3" t="str">
        <f>IFERROR(VLOOKUP($B14,Docket_Master!$A:$N,11,FALSE),"")</f>
        <v>Yes</v>
      </c>
      <c r="N14" s="6">
        <f>IFERROR(VLOOKUP($B14,Docket_Master!$A:$N,12,FALSE),"")</f>
        <v>345</v>
      </c>
      <c r="O14" s="6">
        <f>IFERROR(VLOOKUP($B14,Docket_Master!$A:$N,13,FALSE),"")</f>
        <v>50.399999999999991</v>
      </c>
      <c r="P14" s="3">
        <f>IF($B14="","",COUNTIFS($C$10:$C$29,"&gt;"&amp;$C14,$B$10:$B$29,"&lt;&gt;")+COUNTIFS($C$10:$C14,$C14,$B$10:$B14,"&lt;&gt;"))</f>
        <v>4</v>
      </c>
      <c r="Q14" s="3" t="str">
        <f t="shared" si="0"/>
        <v>Middle Zone</v>
      </c>
      <c r="R14" s="3" t="e">
        <f ca="1">IF($B14="","",_xludf.TEXTJOIN("; ",TRUE,IF($K14="No","Non-stackable: floor placement",""),IF($L14="Yes","Fragile: avoid stacking",""),IF($M14="Yes","Keep upright","")))</f>
        <v>#NAME?</v>
      </c>
      <c r="S14" s="3" t="str">
        <f>IF($B14="","",IF(COUNTIF(Docket_Master!$A:$A,$B14)&gt;0,"Found","Missing in Docket_Master"))</f>
        <v>Found</v>
      </c>
      <c r="T14" s="3" t="str">
        <f t="shared" si="1"/>
        <v>OK</v>
      </c>
      <c r="U14" s="3" t="str">
        <f t="shared" si="2"/>
        <v/>
      </c>
    </row>
    <row r="15" spans="1:21" ht="30">
      <c r="A15" s="3">
        <v>6</v>
      </c>
      <c r="B15" s="3" t="s">
        <v>72</v>
      </c>
      <c r="C15" s="3">
        <v>1</v>
      </c>
      <c r="D15" s="3" t="str">
        <f>IFERROR(VLOOKUP($B15,Docket_Master!$A:$N,2,FALSE),"")</f>
        <v>Meerut</v>
      </c>
      <c r="E15" s="3" t="str">
        <f>IFERROR(VLOOKUP($B15,Docket_Master!$A:$N,3,FALSE),"")</f>
        <v>Carton</v>
      </c>
      <c r="F15" s="6">
        <f>IFERROR(VLOOKUP($B15,Docket_Master!$A:$N,4,FALSE),"")</f>
        <v>2.6</v>
      </c>
      <c r="G15" s="6">
        <f>IFERROR(VLOOKUP($B15,Docket_Master!$A:$N,5,FALSE),"")</f>
        <v>2</v>
      </c>
      <c r="H15" s="6">
        <f>IFERROR(VLOOKUP($B15,Docket_Master!$A:$N,6,FALSE),"")</f>
        <v>1.5</v>
      </c>
      <c r="I15" s="6">
        <f>IFERROR(VLOOKUP($B15,Docket_Master!$A:$N,7,FALSE),"")</f>
        <v>42</v>
      </c>
      <c r="J15" s="3">
        <f>IFERROR(VLOOKUP($B15,Docket_Master!$A:$N,8,FALSE),"")</f>
        <v>9</v>
      </c>
      <c r="K15" s="3" t="str">
        <f>IFERROR(VLOOKUP($B15,Docket_Master!$A:$N,9,FALSE),"")</f>
        <v>Yes</v>
      </c>
      <c r="L15" s="3" t="str">
        <f>IFERROR(VLOOKUP($B15,Docket_Master!$A:$N,10,FALSE),"")</f>
        <v>Yes</v>
      </c>
      <c r="M15" s="3" t="str">
        <f>IFERROR(VLOOKUP($B15,Docket_Master!$A:$N,11,FALSE),"")</f>
        <v>No</v>
      </c>
      <c r="N15" s="6">
        <f>IFERROR(VLOOKUP($B15,Docket_Master!$A:$N,12,FALSE),"")</f>
        <v>378</v>
      </c>
      <c r="O15" s="6">
        <f>IFERROR(VLOOKUP($B15,Docket_Master!$A:$N,13,FALSE),"")</f>
        <v>70.2</v>
      </c>
      <c r="P15" s="3">
        <f>IF($B15="","",COUNTIFS($C$10:$C$29,"&gt;"&amp;$C15,$B$10:$B$29,"&lt;&gt;")+COUNTIFS($C$10:$C15,$C15,$B$10:$B15,"&lt;&gt;"))</f>
        <v>8</v>
      </c>
      <c r="Q15" s="3" t="str">
        <f t="shared" si="0"/>
        <v>Rear / Near Door</v>
      </c>
      <c r="R15" s="3" t="e">
        <f ca="1">IF($B15="","",_xludf.TEXTJOIN("; ",TRUE,IF($K15="No","Non-stackable: floor placement",""),IF($L15="Yes","Fragile: avoid stacking",""),IF($M15="Yes","Keep upright","")))</f>
        <v>#NAME?</v>
      </c>
      <c r="S15" s="3" t="str">
        <f>IF($B15="","",IF(COUNTIF(Docket_Master!$A:$A,$B15)&gt;0,"Found","Missing in Docket_Master"))</f>
        <v>Found</v>
      </c>
      <c r="T15" s="3" t="str">
        <f t="shared" si="1"/>
        <v>OK</v>
      </c>
      <c r="U15" s="3" t="str">
        <f t="shared" si="2"/>
        <v>Unload first, therefore load last</v>
      </c>
    </row>
    <row r="16" spans="1:21" ht="15">
      <c r="A16" s="3">
        <v>7</v>
      </c>
      <c r="B16" s="3" t="s">
        <v>78</v>
      </c>
      <c r="C16" s="3">
        <v>4</v>
      </c>
      <c r="D16" s="3" t="str">
        <f>IFERROR(VLOOKUP($B16,Docket_Master!$A:$N,2,FALSE),"")</f>
        <v>Gurugram</v>
      </c>
      <c r="E16" s="3" t="str">
        <f>IFERROR(VLOOKUP($B16,Docket_Master!$A:$N,3,FALSE),"")</f>
        <v>Pallet</v>
      </c>
      <c r="F16" s="6">
        <f>IFERROR(VLOOKUP($B16,Docket_Master!$A:$N,4,FALSE),"")</f>
        <v>3.8</v>
      </c>
      <c r="G16" s="6">
        <f>IFERROR(VLOOKUP($B16,Docket_Master!$A:$N,5,FALSE),"")</f>
        <v>3.2</v>
      </c>
      <c r="H16" s="6">
        <f>IFERROR(VLOOKUP($B16,Docket_Master!$A:$N,6,FALSE),"")</f>
        <v>3</v>
      </c>
      <c r="I16" s="6">
        <f>IFERROR(VLOOKUP($B16,Docket_Master!$A:$N,7,FALSE),"")</f>
        <v>480</v>
      </c>
      <c r="J16" s="3">
        <f>IFERROR(VLOOKUP($B16,Docket_Master!$A:$N,8,FALSE),"")</f>
        <v>1</v>
      </c>
      <c r="K16" s="3" t="str">
        <f>IFERROR(VLOOKUP($B16,Docket_Master!$A:$N,9,FALSE),"")</f>
        <v>No</v>
      </c>
      <c r="L16" s="3" t="str">
        <f>IFERROR(VLOOKUP($B16,Docket_Master!$A:$N,10,FALSE),"")</f>
        <v>No</v>
      </c>
      <c r="M16" s="3" t="str">
        <f>IFERROR(VLOOKUP($B16,Docket_Master!$A:$N,11,FALSE),"")</f>
        <v>Yes</v>
      </c>
      <c r="N16" s="6">
        <f>IFERROR(VLOOKUP($B16,Docket_Master!$A:$N,12,FALSE),"")</f>
        <v>480</v>
      </c>
      <c r="O16" s="6">
        <f>IFERROR(VLOOKUP($B16,Docket_Master!$A:$N,13,FALSE),"")</f>
        <v>36.480000000000004</v>
      </c>
      <c r="P16" s="3">
        <f>IF($B16="","",COUNTIFS($C$10:$C$29,"&gt;"&amp;$C16,$B$10:$B$29,"&lt;&gt;")+COUNTIFS($C$10:$C16,$C16,$B$10:$B16,"&lt;&gt;"))</f>
        <v>3</v>
      </c>
      <c r="Q16" s="3" t="str">
        <f t="shared" si="0"/>
        <v>Middle Zone</v>
      </c>
      <c r="R16" s="3" t="e">
        <f ca="1">IF($B16="","",_xludf.TEXTJOIN("; ",TRUE,IF($K16="No","Non-stackable: floor placement",""),IF($L16="Yes","Fragile: avoid stacking",""),IF($M16="Yes","Keep upright","")))</f>
        <v>#NAME?</v>
      </c>
      <c r="S16" s="3" t="str">
        <f>IF($B16="","",IF(COUNTIF(Docket_Master!$A:$A,$B16)&gt;0,"Found","Missing in Docket_Master"))</f>
        <v>Found</v>
      </c>
      <c r="T16" s="3" t="str">
        <f t="shared" si="1"/>
        <v>OK</v>
      </c>
      <c r="U16" s="3" t="str">
        <f t="shared" si="2"/>
        <v/>
      </c>
    </row>
    <row r="17" spans="1:21" ht="15">
      <c r="A17" s="3">
        <v>8</v>
      </c>
      <c r="B17" s="3" t="s">
        <v>74</v>
      </c>
      <c r="C17" s="3">
        <v>2</v>
      </c>
      <c r="D17" s="3" t="str">
        <f>IFERROR(VLOOKUP($B17,Docket_Master!$A:$N,2,FALSE),"")</f>
        <v>Noida</v>
      </c>
      <c r="E17" s="3" t="str">
        <f>IFERROR(VLOOKUP($B17,Docket_Master!$A:$N,3,FALSE),"")</f>
        <v>Carton</v>
      </c>
      <c r="F17" s="6">
        <f>IFERROR(VLOOKUP($B17,Docket_Master!$A:$N,4,FALSE),"")</f>
        <v>1.5</v>
      </c>
      <c r="G17" s="6">
        <f>IFERROR(VLOOKUP($B17,Docket_Master!$A:$N,5,FALSE),"")</f>
        <v>1.3</v>
      </c>
      <c r="H17" s="6">
        <f>IFERROR(VLOOKUP($B17,Docket_Master!$A:$N,6,FALSE),"")</f>
        <v>1</v>
      </c>
      <c r="I17" s="6">
        <f>IFERROR(VLOOKUP($B17,Docket_Master!$A:$N,7,FALSE),"")</f>
        <v>16</v>
      </c>
      <c r="J17" s="3">
        <f>IFERROR(VLOOKUP($B17,Docket_Master!$A:$N,8,FALSE),"")</f>
        <v>24</v>
      </c>
      <c r="K17" s="3" t="str">
        <f>IFERROR(VLOOKUP($B17,Docket_Master!$A:$N,9,FALSE),"")</f>
        <v>Yes</v>
      </c>
      <c r="L17" s="3" t="str">
        <f>IFERROR(VLOOKUP($B17,Docket_Master!$A:$N,10,FALSE),"")</f>
        <v>No</v>
      </c>
      <c r="M17" s="3" t="str">
        <f>IFERROR(VLOOKUP($B17,Docket_Master!$A:$N,11,FALSE),"")</f>
        <v>No</v>
      </c>
      <c r="N17" s="6">
        <f>IFERROR(VLOOKUP($B17,Docket_Master!$A:$N,12,FALSE),"")</f>
        <v>384</v>
      </c>
      <c r="O17" s="6">
        <f>IFERROR(VLOOKUP($B17,Docket_Master!$A:$N,13,FALSE),"")</f>
        <v>46.800000000000004</v>
      </c>
      <c r="P17" s="3">
        <f>IF($B17="","",COUNTIFS($C$10:$C$29,"&gt;"&amp;$C17,$B$10:$B$29,"&lt;&gt;")+COUNTIFS($C$10:$C17,$C17,$B$10:$B17,"&lt;&gt;"))</f>
        <v>6</v>
      </c>
      <c r="Q17" s="3" t="str">
        <f t="shared" si="0"/>
        <v>Middle Zone</v>
      </c>
      <c r="R17" s="3" t="e">
        <f ca="1">IF($B17="","",_xludf.TEXTJOIN("; ",TRUE,IF($K17="No","Non-stackable: floor placement",""),IF($L17="Yes","Fragile: avoid stacking",""),IF($M17="Yes","Keep upright","")))</f>
        <v>#NAME?</v>
      </c>
      <c r="S17" s="3" t="str">
        <f>IF($B17="","",IF(COUNTIF(Docket_Master!$A:$A,$B17)&gt;0,"Found","Missing in Docket_Master"))</f>
        <v>Found</v>
      </c>
      <c r="T17" s="3" t="str">
        <f t="shared" si="1"/>
        <v>OK</v>
      </c>
      <c r="U17" s="3" t="str">
        <f t="shared" si="2"/>
        <v/>
      </c>
    </row>
    <row r="18" spans="1:21" ht="15">
      <c r="A18" s="3">
        <v>9</v>
      </c>
      <c r="B18" s="3"/>
      <c r="C18" s="3"/>
      <c r="D18" s="3" t="str">
        <f>IFERROR(VLOOKUP($B18,Docket_Master!$A:$N,2,FALSE),"")</f>
        <v/>
      </c>
      <c r="E18" s="3" t="str">
        <f>IFERROR(VLOOKUP($B18,Docket_Master!$A:$N,3,FALSE),"")</f>
        <v/>
      </c>
      <c r="F18" s="6" t="str">
        <f>IFERROR(VLOOKUP($B18,Docket_Master!$A:$N,4,FALSE),"")</f>
        <v/>
      </c>
      <c r="G18" s="6" t="str">
        <f>IFERROR(VLOOKUP($B18,Docket_Master!$A:$N,5,FALSE),"")</f>
        <v/>
      </c>
      <c r="H18" s="6" t="str">
        <f>IFERROR(VLOOKUP($B18,Docket_Master!$A:$N,6,FALSE),"")</f>
        <v/>
      </c>
      <c r="I18" s="6" t="str">
        <f>IFERROR(VLOOKUP($B18,Docket_Master!$A:$N,7,FALSE),"")</f>
        <v/>
      </c>
      <c r="J18" s="3" t="str">
        <f>IFERROR(VLOOKUP($B18,Docket_Master!$A:$N,8,FALSE),"")</f>
        <v/>
      </c>
      <c r="K18" s="3" t="str">
        <f>IFERROR(VLOOKUP($B18,Docket_Master!$A:$N,9,FALSE),"")</f>
        <v/>
      </c>
      <c r="L18" s="3" t="str">
        <f>IFERROR(VLOOKUP($B18,Docket_Master!$A:$N,10,FALSE),"")</f>
        <v/>
      </c>
      <c r="M18" s="3" t="str">
        <f>IFERROR(VLOOKUP($B18,Docket_Master!$A:$N,11,FALSE),"")</f>
        <v/>
      </c>
      <c r="N18" s="6" t="str">
        <f>IFERROR(VLOOKUP($B18,Docket_Master!$A:$N,12,FALSE),"")</f>
        <v/>
      </c>
      <c r="O18" s="6" t="str">
        <f>IFERROR(VLOOKUP($B18,Docket_Master!$A:$N,13,FALSE),"")</f>
        <v/>
      </c>
      <c r="P18" s="3" t="str">
        <f>IF($B18="","",COUNTIFS($C$10:$C$29,"&gt;"&amp;$C18,$B$10:$B$29,"&lt;&gt;")+COUNTIFS($C$10:$C18,$C18,$B$10:$B18,"&lt;&gt;"))</f>
        <v/>
      </c>
      <c r="Q18" s="3" t="str">
        <f t="shared" si="0"/>
        <v/>
      </c>
      <c r="R18" s="3" t="str">
        <f>IF($B18="","",_xludf.TEXTJOIN("; ",TRUE,IF($K18="No","Non-stackable: floor placement",""),IF($L18="Yes","Fragile: avoid stacking",""),IF($M18="Yes","Keep upright","")))</f>
        <v/>
      </c>
      <c r="S18" s="3" t="str">
        <f>IF($B18="","",IF(COUNTIF(Docket_Master!$A:$A,$B18)&gt;0,"Found","Missing in Docket_Master"))</f>
        <v/>
      </c>
      <c r="T18" s="3" t="str">
        <f t="shared" si="1"/>
        <v/>
      </c>
      <c r="U18" s="3" t="str">
        <f t="shared" si="2"/>
        <v/>
      </c>
    </row>
    <row r="19" spans="1:21" ht="15">
      <c r="A19" s="3">
        <v>10</v>
      </c>
      <c r="B19" s="3"/>
      <c r="C19" s="3"/>
      <c r="D19" s="3" t="str">
        <f>IFERROR(VLOOKUP($B19,Docket_Master!$A:$N,2,FALSE),"")</f>
        <v/>
      </c>
      <c r="E19" s="3" t="str">
        <f>IFERROR(VLOOKUP($B19,Docket_Master!$A:$N,3,FALSE),"")</f>
        <v/>
      </c>
      <c r="F19" s="6" t="str">
        <f>IFERROR(VLOOKUP($B19,Docket_Master!$A:$N,4,FALSE),"")</f>
        <v/>
      </c>
      <c r="G19" s="6" t="str">
        <f>IFERROR(VLOOKUP($B19,Docket_Master!$A:$N,5,FALSE),"")</f>
        <v/>
      </c>
      <c r="H19" s="6" t="str">
        <f>IFERROR(VLOOKUP($B19,Docket_Master!$A:$N,6,FALSE),"")</f>
        <v/>
      </c>
      <c r="I19" s="6" t="str">
        <f>IFERROR(VLOOKUP($B19,Docket_Master!$A:$N,7,FALSE),"")</f>
        <v/>
      </c>
      <c r="J19" s="3" t="str">
        <f>IFERROR(VLOOKUP($B19,Docket_Master!$A:$N,8,FALSE),"")</f>
        <v/>
      </c>
      <c r="K19" s="3" t="str">
        <f>IFERROR(VLOOKUP($B19,Docket_Master!$A:$N,9,FALSE),"")</f>
        <v/>
      </c>
      <c r="L19" s="3" t="str">
        <f>IFERROR(VLOOKUP($B19,Docket_Master!$A:$N,10,FALSE),"")</f>
        <v/>
      </c>
      <c r="M19" s="3" t="str">
        <f>IFERROR(VLOOKUP($B19,Docket_Master!$A:$N,11,FALSE),"")</f>
        <v/>
      </c>
      <c r="N19" s="6" t="str">
        <f>IFERROR(VLOOKUP($B19,Docket_Master!$A:$N,12,FALSE),"")</f>
        <v/>
      </c>
      <c r="O19" s="6" t="str">
        <f>IFERROR(VLOOKUP($B19,Docket_Master!$A:$N,13,FALSE),"")</f>
        <v/>
      </c>
      <c r="P19" s="3" t="str">
        <f>IF($B19="","",COUNTIFS($C$10:$C$29,"&gt;"&amp;$C19,$B$10:$B$29,"&lt;&gt;")+COUNTIFS($C$10:$C19,$C19,$B$10:$B19,"&lt;&gt;"))</f>
        <v/>
      </c>
      <c r="Q19" s="3" t="str">
        <f t="shared" si="0"/>
        <v/>
      </c>
      <c r="R19" s="3" t="str">
        <f>IF($B19="","",_xludf.TEXTJOIN("; ",TRUE,IF($K19="No","Non-stackable: floor placement",""),IF($L19="Yes","Fragile: avoid stacking",""),IF($M19="Yes","Keep upright","")))</f>
        <v/>
      </c>
      <c r="S19" s="3" t="str">
        <f>IF($B19="","",IF(COUNTIF(Docket_Master!$A:$A,$B19)&gt;0,"Found","Missing in Docket_Master"))</f>
        <v/>
      </c>
      <c r="T19" s="3" t="str">
        <f t="shared" si="1"/>
        <v/>
      </c>
      <c r="U19" s="3" t="str">
        <f t="shared" si="2"/>
        <v/>
      </c>
    </row>
    <row r="20" spans="1:21" ht="15">
      <c r="A20" s="3">
        <v>11</v>
      </c>
      <c r="B20" s="3"/>
      <c r="C20" s="3"/>
      <c r="D20" s="3" t="str">
        <f>IFERROR(VLOOKUP($B20,Docket_Master!$A:$N,2,FALSE),"")</f>
        <v/>
      </c>
      <c r="E20" s="3" t="str">
        <f>IFERROR(VLOOKUP($B20,Docket_Master!$A:$N,3,FALSE),"")</f>
        <v/>
      </c>
      <c r="F20" s="6" t="str">
        <f>IFERROR(VLOOKUP($B20,Docket_Master!$A:$N,4,FALSE),"")</f>
        <v/>
      </c>
      <c r="G20" s="6" t="str">
        <f>IFERROR(VLOOKUP($B20,Docket_Master!$A:$N,5,FALSE),"")</f>
        <v/>
      </c>
      <c r="H20" s="6" t="str">
        <f>IFERROR(VLOOKUP($B20,Docket_Master!$A:$N,6,FALSE),"")</f>
        <v/>
      </c>
      <c r="I20" s="6" t="str">
        <f>IFERROR(VLOOKUP($B20,Docket_Master!$A:$N,7,FALSE),"")</f>
        <v/>
      </c>
      <c r="J20" s="3" t="str">
        <f>IFERROR(VLOOKUP($B20,Docket_Master!$A:$N,8,FALSE),"")</f>
        <v/>
      </c>
      <c r="K20" s="3" t="str">
        <f>IFERROR(VLOOKUP($B20,Docket_Master!$A:$N,9,FALSE),"")</f>
        <v/>
      </c>
      <c r="L20" s="3" t="str">
        <f>IFERROR(VLOOKUP($B20,Docket_Master!$A:$N,10,FALSE),"")</f>
        <v/>
      </c>
      <c r="M20" s="3" t="str">
        <f>IFERROR(VLOOKUP($B20,Docket_Master!$A:$N,11,FALSE),"")</f>
        <v/>
      </c>
      <c r="N20" s="6" t="str">
        <f>IFERROR(VLOOKUP($B20,Docket_Master!$A:$N,12,FALSE),"")</f>
        <v/>
      </c>
      <c r="O20" s="6" t="str">
        <f>IFERROR(VLOOKUP($B20,Docket_Master!$A:$N,13,FALSE),"")</f>
        <v/>
      </c>
      <c r="P20" s="3" t="str">
        <f>IF($B20="","",COUNTIFS($C$10:$C$29,"&gt;"&amp;$C20,$B$10:$B$29,"&lt;&gt;")+COUNTIFS($C$10:$C20,$C20,$B$10:$B20,"&lt;&gt;"))</f>
        <v/>
      </c>
      <c r="Q20" s="3" t="str">
        <f t="shared" si="0"/>
        <v/>
      </c>
      <c r="R20" s="3" t="str">
        <f>IF($B20="","",_xludf.TEXTJOIN("; ",TRUE,IF($K20="No","Non-stackable: floor placement",""),IF($L20="Yes","Fragile: avoid stacking",""),IF($M20="Yes","Keep upright","")))</f>
        <v/>
      </c>
      <c r="S20" s="3" t="str">
        <f>IF($B20="","",IF(COUNTIF(Docket_Master!$A:$A,$B20)&gt;0,"Found","Missing in Docket_Master"))</f>
        <v/>
      </c>
      <c r="T20" s="3" t="str">
        <f t="shared" si="1"/>
        <v/>
      </c>
      <c r="U20" s="3" t="str">
        <f t="shared" si="2"/>
        <v/>
      </c>
    </row>
    <row r="21" spans="1:21" ht="15">
      <c r="A21" s="3">
        <v>12</v>
      </c>
      <c r="B21" s="3"/>
      <c r="C21" s="3"/>
      <c r="D21" s="3" t="str">
        <f>IFERROR(VLOOKUP($B21,Docket_Master!$A:$N,2,FALSE),"")</f>
        <v/>
      </c>
      <c r="E21" s="3" t="str">
        <f>IFERROR(VLOOKUP($B21,Docket_Master!$A:$N,3,FALSE),"")</f>
        <v/>
      </c>
      <c r="F21" s="6" t="str">
        <f>IFERROR(VLOOKUP($B21,Docket_Master!$A:$N,4,FALSE),"")</f>
        <v/>
      </c>
      <c r="G21" s="6" t="str">
        <f>IFERROR(VLOOKUP($B21,Docket_Master!$A:$N,5,FALSE),"")</f>
        <v/>
      </c>
      <c r="H21" s="6" t="str">
        <f>IFERROR(VLOOKUP($B21,Docket_Master!$A:$N,6,FALSE),"")</f>
        <v/>
      </c>
      <c r="I21" s="6" t="str">
        <f>IFERROR(VLOOKUP($B21,Docket_Master!$A:$N,7,FALSE),"")</f>
        <v/>
      </c>
      <c r="J21" s="3" t="str">
        <f>IFERROR(VLOOKUP($B21,Docket_Master!$A:$N,8,FALSE),"")</f>
        <v/>
      </c>
      <c r="K21" s="3" t="str">
        <f>IFERROR(VLOOKUP($B21,Docket_Master!$A:$N,9,FALSE),"")</f>
        <v/>
      </c>
      <c r="L21" s="3" t="str">
        <f>IFERROR(VLOOKUP($B21,Docket_Master!$A:$N,10,FALSE),"")</f>
        <v/>
      </c>
      <c r="M21" s="3" t="str">
        <f>IFERROR(VLOOKUP($B21,Docket_Master!$A:$N,11,FALSE),"")</f>
        <v/>
      </c>
      <c r="N21" s="6" t="str">
        <f>IFERROR(VLOOKUP($B21,Docket_Master!$A:$N,12,FALSE),"")</f>
        <v/>
      </c>
      <c r="O21" s="6" t="str">
        <f>IFERROR(VLOOKUP($B21,Docket_Master!$A:$N,13,FALSE),"")</f>
        <v/>
      </c>
      <c r="P21" s="3" t="str">
        <f>IF($B21="","",COUNTIFS($C$10:$C$29,"&gt;"&amp;$C21,$B$10:$B$29,"&lt;&gt;")+COUNTIFS($C$10:$C21,$C21,$B$10:$B21,"&lt;&gt;"))</f>
        <v/>
      </c>
      <c r="Q21" s="3" t="str">
        <f t="shared" si="0"/>
        <v/>
      </c>
      <c r="R21" s="3" t="str">
        <f>IF($B21="","",_xludf.TEXTJOIN("; ",TRUE,IF($K21="No","Non-stackable: floor placement",""),IF($L21="Yes","Fragile: avoid stacking",""),IF($M21="Yes","Keep upright","")))</f>
        <v/>
      </c>
      <c r="S21" s="3" t="str">
        <f>IF($B21="","",IF(COUNTIF(Docket_Master!$A:$A,$B21)&gt;0,"Found","Missing in Docket_Master"))</f>
        <v/>
      </c>
      <c r="T21" s="3" t="str">
        <f t="shared" si="1"/>
        <v/>
      </c>
      <c r="U21" s="3" t="str">
        <f t="shared" si="2"/>
        <v/>
      </c>
    </row>
    <row r="22" spans="1:21" ht="15">
      <c r="A22" s="3">
        <v>13</v>
      </c>
      <c r="B22" s="3"/>
      <c r="C22" s="3"/>
      <c r="D22" s="3" t="str">
        <f>IFERROR(VLOOKUP($B22,Docket_Master!$A:$N,2,FALSE),"")</f>
        <v/>
      </c>
      <c r="E22" s="3" t="str">
        <f>IFERROR(VLOOKUP($B22,Docket_Master!$A:$N,3,FALSE),"")</f>
        <v/>
      </c>
      <c r="F22" s="6" t="str">
        <f>IFERROR(VLOOKUP($B22,Docket_Master!$A:$N,4,FALSE),"")</f>
        <v/>
      </c>
      <c r="G22" s="6" t="str">
        <f>IFERROR(VLOOKUP($B22,Docket_Master!$A:$N,5,FALSE),"")</f>
        <v/>
      </c>
      <c r="H22" s="6" t="str">
        <f>IFERROR(VLOOKUP($B22,Docket_Master!$A:$N,6,FALSE),"")</f>
        <v/>
      </c>
      <c r="I22" s="6" t="str">
        <f>IFERROR(VLOOKUP($B22,Docket_Master!$A:$N,7,FALSE),"")</f>
        <v/>
      </c>
      <c r="J22" s="3" t="str">
        <f>IFERROR(VLOOKUP($B22,Docket_Master!$A:$N,8,FALSE),"")</f>
        <v/>
      </c>
      <c r="K22" s="3" t="str">
        <f>IFERROR(VLOOKUP($B22,Docket_Master!$A:$N,9,FALSE),"")</f>
        <v/>
      </c>
      <c r="L22" s="3" t="str">
        <f>IFERROR(VLOOKUP($B22,Docket_Master!$A:$N,10,FALSE),"")</f>
        <v/>
      </c>
      <c r="M22" s="3" t="str">
        <f>IFERROR(VLOOKUP($B22,Docket_Master!$A:$N,11,FALSE),"")</f>
        <v/>
      </c>
      <c r="N22" s="6" t="str">
        <f>IFERROR(VLOOKUP($B22,Docket_Master!$A:$N,12,FALSE),"")</f>
        <v/>
      </c>
      <c r="O22" s="6" t="str">
        <f>IFERROR(VLOOKUP($B22,Docket_Master!$A:$N,13,FALSE),"")</f>
        <v/>
      </c>
      <c r="P22" s="3" t="str">
        <f>IF($B22="","",COUNTIFS($C$10:$C$29,"&gt;"&amp;$C22,$B$10:$B$29,"&lt;&gt;")+COUNTIFS($C$10:$C22,$C22,$B$10:$B22,"&lt;&gt;"))</f>
        <v/>
      </c>
      <c r="Q22" s="3" t="str">
        <f t="shared" si="0"/>
        <v/>
      </c>
      <c r="R22" s="3" t="str">
        <f>IF($B22="","",_xludf.TEXTJOIN("; ",TRUE,IF($K22="No","Non-stackable: floor placement",""),IF($L22="Yes","Fragile: avoid stacking",""),IF($M22="Yes","Keep upright","")))</f>
        <v/>
      </c>
      <c r="S22" s="3" t="str">
        <f>IF($B22="","",IF(COUNTIF(Docket_Master!$A:$A,$B22)&gt;0,"Found","Missing in Docket_Master"))</f>
        <v/>
      </c>
      <c r="T22" s="3" t="str">
        <f t="shared" si="1"/>
        <v/>
      </c>
      <c r="U22" s="3" t="str">
        <f t="shared" si="2"/>
        <v/>
      </c>
    </row>
    <row r="23" spans="1:21" ht="15">
      <c r="A23" s="3">
        <v>14</v>
      </c>
      <c r="B23" s="3"/>
      <c r="C23" s="3"/>
      <c r="D23" s="3" t="str">
        <f>IFERROR(VLOOKUP($B23,Docket_Master!$A:$N,2,FALSE),"")</f>
        <v/>
      </c>
      <c r="E23" s="3" t="str">
        <f>IFERROR(VLOOKUP($B23,Docket_Master!$A:$N,3,FALSE),"")</f>
        <v/>
      </c>
      <c r="F23" s="6" t="str">
        <f>IFERROR(VLOOKUP($B23,Docket_Master!$A:$N,4,FALSE),"")</f>
        <v/>
      </c>
      <c r="G23" s="6" t="str">
        <f>IFERROR(VLOOKUP($B23,Docket_Master!$A:$N,5,FALSE),"")</f>
        <v/>
      </c>
      <c r="H23" s="6" t="str">
        <f>IFERROR(VLOOKUP($B23,Docket_Master!$A:$N,6,FALSE),"")</f>
        <v/>
      </c>
      <c r="I23" s="6" t="str">
        <f>IFERROR(VLOOKUP($B23,Docket_Master!$A:$N,7,FALSE),"")</f>
        <v/>
      </c>
      <c r="J23" s="3" t="str">
        <f>IFERROR(VLOOKUP($B23,Docket_Master!$A:$N,8,FALSE),"")</f>
        <v/>
      </c>
      <c r="K23" s="3" t="str">
        <f>IFERROR(VLOOKUP($B23,Docket_Master!$A:$N,9,FALSE),"")</f>
        <v/>
      </c>
      <c r="L23" s="3" t="str">
        <f>IFERROR(VLOOKUP($B23,Docket_Master!$A:$N,10,FALSE),"")</f>
        <v/>
      </c>
      <c r="M23" s="3" t="str">
        <f>IFERROR(VLOOKUP($B23,Docket_Master!$A:$N,11,FALSE),"")</f>
        <v/>
      </c>
      <c r="N23" s="6" t="str">
        <f>IFERROR(VLOOKUP($B23,Docket_Master!$A:$N,12,FALSE),"")</f>
        <v/>
      </c>
      <c r="O23" s="6" t="str">
        <f>IFERROR(VLOOKUP($B23,Docket_Master!$A:$N,13,FALSE),"")</f>
        <v/>
      </c>
      <c r="P23" s="3" t="str">
        <f>IF($B23="","",COUNTIFS($C$10:$C$29,"&gt;"&amp;$C23,$B$10:$B$29,"&lt;&gt;")+COUNTIFS($C$10:$C23,$C23,$B$10:$B23,"&lt;&gt;"))</f>
        <v/>
      </c>
      <c r="Q23" s="3" t="str">
        <f t="shared" si="0"/>
        <v/>
      </c>
      <c r="R23" s="3" t="str">
        <f>IF($B23="","",_xludf.TEXTJOIN("; ",TRUE,IF($K23="No","Non-stackable: floor placement",""),IF($L23="Yes","Fragile: avoid stacking",""),IF($M23="Yes","Keep upright","")))</f>
        <v/>
      </c>
      <c r="S23" s="3" t="str">
        <f>IF($B23="","",IF(COUNTIF(Docket_Master!$A:$A,$B23)&gt;0,"Found","Missing in Docket_Master"))</f>
        <v/>
      </c>
      <c r="T23" s="3" t="str">
        <f t="shared" si="1"/>
        <v/>
      </c>
      <c r="U23" s="3" t="str">
        <f t="shared" si="2"/>
        <v/>
      </c>
    </row>
    <row r="24" spans="1:21" ht="15">
      <c r="A24" s="3">
        <v>15</v>
      </c>
      <c r="B24" s="3"/>
      <c r="C24" s="3"/>
      <c r="D24" s="3" t="str">
        <f>IFERROR(VLOOKUP($B24,Docket_Master!$A:$N,2,FALSE),"")</f>
        <v/>
      </c>
      <c r="E24" s="3" t="str">
        <f>IFERROR(VLOOKUP($B24,Docket_Master!$A:$N,3,FALSE),"")</f>
        <v/>
      </c>
      <c r="F24" s="6" t="str">
        <f>IFERROR(VLOOKUP($B24,Docket_Master!$A:$N,4,FALSE),"")</f>
        <v/>
      </c>
      <c r="G24" s="6" t="str">
        <f>IFERROR(VLOOKUP($B24,Docket_Master!$A:$N,5,FALSE),"")</f>
        <v/>
      </c>
      <c r="H24" s="6" t="str">
        <f>IFERROR(VLOOKUP($B24,Docket_Master!$A:$N,6,FALSE),"")</f>
        <v/>
      </c>
      <c r="I24" s="6" t="str">
        <f>IFERROR(VLOOKUP($B24,Docket_Master!$A:$N,7,FALSE),"")</f>
        <v/>
      </c>
      <c r="J24" s="3" t="str">
        <f>IFERROR(VLOOKUP($B24,Docket_Master!$A:$N,8,FALSE),"")</f>
        <v/>
      </c>
      <c r="K24" s="3" t="str">
        <f>IFERROR(VLOOKUP($B24,Docket_Master!$A:$N,9,FALSE),"")</f>
        <v/>
      </c>
      <c r="L24" s="3" t="str">
        <f>IFERROR(VLOOKUP($B24,Docket_Master!$A:$N,10,FALSE),"")</f>
        <v/>
      </c>
      <c r="M24" s="3" t="str">
        <f>IFERROR(VLOOKUP($B24,Docket_Master!$A:$N,11,FALSE),"")</f>
        <v/>
      </c>
      <c r="N24" s="6" t="str">
        <f>IFERROR(VLOOKUP($B24,Docket_Master!$A:$N,12,FALSE),"")</f>
        <v/>
      </c>
      <c r="O24" s="6" t="str">
        <f>IFERROR(VLOOKUP($B24,Docket_Master!$A:$N,13,FALSE),"")</f>
        <v/>
      </c>
      <c r="P24" s="3" t="str">
        <f>IF($B24="","",COUNTIFS($C$10:$C$29,"&gt;"&amp;$C24,$B$10:$B$29,"&lt;&gt;")+COUNTIFS($C$10:$C24,$C24,$B$10:$B24,"&lt;&gt;"))</f>
        <v/>
      </c>
      <c r="Q24" s="3" t="str">
        <f t="shared" si="0"/>
        <v/>
      </c>
      <c r="R24" s="3" t="str">
        <f>IF($B24="","",_xludf.TEXTJOIN("; ",TRUE,IF($K24="No","Non-stackable: floor placement",""),IF($L24="Yes","Fragile: avoid stacking",""),IF($M24="Yes","Keep upright","")))</f>
        <v/>
      </c>
      <c r="S24" s="3" t="str">
        <f>IF($B24="","",IF(COUNTIF(Docket_Master!$A:$A,$B24)&gt;0,"Found","Missing in Docket_Master"))</f>
        <v/>
      </c>
      <c r="T24" s="3" t="str">
        <f t="shared" si="1"/>
        <v/>
      </c>
      <c r="U24" s="3" t="str">
        <f t="shared" si="2"/>
        <v/>
      </c>
    </row>
    <row r="25" spans="1:21" ht="15">
      <c r="A25" s="3">
        <v>16</v>
      </c>
      <c r="B25" s="3"/>
      <c r="C25" s="3"/>
      <c r="D25" s="3" t="str">
        <f>IFERROR(VLOOKUP($B25,Docket_Master!$A:$N,2,FALSE),"")</f>
        <v/>
      </c>
      <c r="E25" s="3" t="str">
        <f>IFERROR(VLOOKUP($B25,Docket_Master!$A:$N,3,FALSE),"")</f>
        <v/>
      </c>
      <c r="F25" s="6" t="str">
        <f>IFERROR(VLOOKUP($B25,Docket_Master!$A:$N,4,FALSE),"")</f>
        <v/>
      </c>
      <c r="G25" s="6" t="str">
        <f>IFERROR(VLOOKUP($B25,Docket_Master!$A:$N,5,FALSE),"")</f>
        <v/>
      </c>
      <c r="H25" s="6" t="str">
        <f>IFERROR(VLOOKUP($B25,Docket_Master!$A:$N,6,FALSE),"")</f>
        <v/>
      </c>
      <c r="I25" s="6" t="str">
        <f>IFERROR(VLOOKUP($B25,Docket_Master!$A:$N,7,FALSE),"")</f>
        <v/>
      </c>
      <c r="J25" s="3" t="str">
        <f>IFERROR(VLOOKUP($B25,Docket_Master!$A:$N,8,FALSE),"")</f>
        <v/>
      </c>
      <c r="K25" s="3" t="str">
        <f>IFERROR(VLOOKUP($B25,Docket_Master!$A:$N,9,FALSE),"")</f>
        <v/>
      </c>
      <c r="L25" s="3" t="str">
        <f>IFERROR(VLOOKUP($B25,Docket_Master!$A:$N,10,FALSE),"")</f>
        <v/>
      </c>
      <c r="M25" s="3" t="str">
        <f>IFERROR(VLOOKUP($B25,Docket_Master!$A:$N,11,FALSE),"")</f>
        <v/>
      </c>
      <c r="N25" s="6" t="str">
        <f>IFERROR(VLOOKUP($B25,Docket_Master!$A:$N,12,FALSE),"")</f>
        <v/>
      </c>
      <c r="O25" s="6" t="str">
        <f>IFERROR(VLOOKUP($B25,Docket_Master!$A:$N,13,FALSE),"")</f>
        <v/>
      </c>
      <c r="P25" s="3" t="str">
        <f>IF($B25="","",COUNTIFS($C$10:$C$29,"&gt;"&amp;$C25,$B$10:$B$29,"&lt;&gt;")+COUNTIFS($C$10:$C25,$C25,$B$10:$B25,"&lt;&gt;"))</f>
        <v/>
      </c>
      <c r="Q25" s="3" t="str">
        <f t="shared" si="0"/>
        <v/>
      </c>
      <c r="R25" s="3" t="str">
        <f>IF($B25="","",_xludf.TEXTJOIN("; ",TRUE,IF($K25="No","Non-stackable: floor placement",""),IF($L25="Yes","Fragile: avoid stacking",""),IF($M25="Yes","Keep upright","")))</f>
        <v/>
      </c>
      <c r="S25" s="3" t="str">
        <f>IF($B25="","",IF(COUNTIF(Docket_Master!$A:$A,$B25)&gt;0,"Found","Missing in Docket_Master"))</f>
        <v/>
      </c>
      <c r="T25" s="3" t="str">
        <f t="shared" si="1"/>
        <v/>
      </c>
      <c r="U25" s="3" t="str">
        <f t="shared" si="2"/>
        <v/>
      </c>
    </row>
    <row r="26" spans="1:21" ht="15">
      <c r="A26" s="3">
        <v>17</v>
      </c>
      <c r="B26" s="3"/>
      <c r="C26" s="3"/>
      <c r="D26" s="3" t="str">
        <f>IFERROR(VLOOKUP($B26,Docket_Master!$A:$N,2,FALSE),"")</f>
        <v/>
      </c>
      <c r="E26" s="3" t="str">
        <f>IFERROR(VLOOKUP($B26,Docket_Master!$A:$N,3,FALSE),"")</f>
        <v/>
      </c>
      <c r="F26" s="6" t="str">
        <f>IFERROR(VLOOKUP($B26,Docket_Master!$A:$N,4,FALSE),"")</f>
        <v/>
      </c>
      <c r="G26" s="6" t="str">
        <f>IFERROR(VLOOKUP($B26,Docket_Master!$A:$N,5,FALSE),"")</f>
        <v/>
      </c>
      <c r="H26" s="6" t="str">
        <f>IFERROR(VLOOKUP($B26,Docket_Master!$A:$N,6,FALSE),"")</f>
        <v/>
      </c>
      <c r="I26" s="6" t="str">
        <f>IFERROR(VLOOKUP($B26,Docket_Master!$A:$N,7,FALSE),"")</f>
        <v/>
      </c>
      <c r="J26" s="3" t="str">
        <f>IFERROR(VLOOKUP($B26,Docket_Master!$A:$N,8,FALSE),"")</f>
        <v/>
      </c>
      <c r="K26" s="3" t="str">
        <f>IFERROR(VLOOKUP($B26,Docket_Master!$A:$N,9,FALSE),"")</f>
        <v/>
      </c>
      <c r="L26" s="3" t="str">
        <f>IFERROR(VLOOKUP($B26,Docket_Master!$A:$N,10,FALSE),"")</f>
        <v/>
      </c>
      <c r="M26" s="3" t="str">
        <f>IFERROR(VLOOKUP($B26,Docket_Master!$A:$N,11,FALSE),"")</f>
        <v/>
      </c>
      <c r="N26" s="6" t="str">
        <f>IFERROR(VLOOKUP($B26,Docket_Master!$A:$N,12,FALSE),"")</f>
        <v/>
      </c>
      <c r="O26" s="6" t="str">
        <f>IFERROR(VLOOKUP($B26,Docket_Master!$A:$N,13,FALSE),"")</f>
        <v/>
      </c>
      <c r="P26" s="3" t="str">
        <f>IF($B26="","",COUNTIFS($C$10:$C$29,"&gt;"&amp;$C26,$B$10:$B$29,"&lt;&gt;")+COUNTIFS($C$10:$C26,$C26,$B$10:$B26,"&lt;&gt;"))</f>
        <v/>
      </c>
      <c r="Q26" s="3" t="str">
        <f t="shared" si="0"/>
        <v/>
      </c>
      <c r="R26" s="3" t="str">
        <f>IF($B26="","",_xludf.TEXTJOIN("; ",TRUE,IF($K26="No","Non-stackable: floor placement",""),IF($L26="Yes","Fragile: avoid stacking",""),IF($M26="Yes","Keep upright","")))</f>
        <v/>
      </c>
      <c r="S26" s="3" t="str">
        <f>IF($B26="","",IF(COUNTIF(Docket_Master!$A:$A,$B26)&gt;0,"Found","Missing in Docket_Master"))</f>
        <v/>
      </c>
      <c r="T26" s="3" t="str">
        <f t="shared" si="1"/>
        <v/>
      </c>
      <c r="U26" s="3" t="str">
        <f t="shared" si="2"/>
        <v/>
      </c>
    </row>
    <row r="27" spans="1:21" ht="15">
      <c r="A27" s="3">
        <v>18</v>
      </c>
      <c r="B27" s="3"/>
      <c r="C27" s="3"/>
      <c r="D27" s="3" t="str">
        <f>IFERROR(VLOOKUP($B27,Docket_Master!$A:$N,2,FALSE),"")</f>
        <v/>
      </c>
      <c r="E27" s="3" t="str">
        <f>IFERROR(VLOOKUP($B27,Docket_Master!$A:$N,3,FALSE),"")</f>
        <v/>
      </c>
      <c r="F27" s="6" t="str">
        <f>IFERROR(VLOOKUP($B27,Docket_Master!$A:$N,4,FALSE),"")</f>
        <v/>
      </c>
      <c r="G27" s="6" t="str">
        <f>IFERROR(VLOOKUP($B27,Docket_Master!$A:$N,5,FALSE),"")</f>
        <v/>
      </c>
      <c r="H27" s="6" t="str">
        <f>IFERROR(VLOOKUP($B27,Docket_Master!$A:$N,6,FALSE),"")</f>
        <v/>
      </c>
      <c r="I27" s="6" t="str">
        <f>IFERROR(VLOOKUP($B27,Docket_Master!$A:$N,7,FALSE),"")</f>
        <v/>
      </c>
      <c r="J27" s="3" t="str">
        <f>IFERROR(VLOOKUP($B27,Docket_Master!$A:$N,8,FALSE),"")</f>
        <v/>
      </c>
      <c r="K27" s="3" t="str">
        <f>IFERROR(VLOOKUP($B27,Docket_Master!$A:$N,9,FALSE),"")</f>
        <v/>
      </c>
      <c r="L27" s="3" t="str">
        <f>IFERROR(VLOOKUP($B27,Docket_Master!$A:$N,10,FALSE),"")</f>
        <v/>
      </c>
      <c r="M27" s="3" t="str">
        <f>IFERROR(VLOOKUP($B27,Docket_Master!$A:$N,11,FALSE),"")</f>
        <v/>
      </c>
      <c r="N27" s="6" t="str">
        <f>IFERROR(VLOOKUP($B27,Docket_Master!$A:$N,12,FALSE),"")</f>
        <v/>
      </c>
      <c r="O27" s="6" t="str">
        <f>IFERROR(VLOOKUP($B27,Docket_Master!$A:$N,13,FALSE),"")</f>
        <v/>
      </c>
      <c r="P27" s="3" t="str">
        <f>IF($B27="","",COUNTIFS($C$10:$C$29,"&gt;"&amp;$C27,$B$10:$B$29,"&lt;&gt;")+COUNTIFS($C$10:$C27,$C27,$B$10:$B27,"&lt;&gt;"))</f>
        <v/>
      </c>
      <c r="Q27" s="3" t="str">
        <f t="shared" si="0"/>
        <v/>
      </c>
      <c r="R27" s="3" t="str">
        <f>IF($B27="","",_xludf.TEXTJOIN("; ",TRUE,IF($K27="No","Non-stackable: floor placement",""),IF($L27="Yes","Fragile: avoid stacking",""),IF($M27="Yes","Keep upright","")))</f>
        <v/>
      </c>
      <c r="S27" s="3" t="str">
        <f>IF($B27="","",IF(COUNTIF(Docket_Master!$A:$A,$B27)&gt;0,"Found","Missing in Docket_Master"))</f>
        <v/>
      </c>
      <c r="T27" s="3" t="str">
        <f t="shared" si="1"/>
        <v/>
      </c>
      <c r="U27" s="3" t="str">
        <f t="shared" si="2"/>
        <v/>
      </c>
    </row>
    <row r="28" spans="1:21" ht="15">
      <c r="A28" s="3">
        <v>19</v>
      </c>
      <c r="B28" s="3"/>
      <c r="C28" s="3"/>
      <c r="D28" s="3" t="str">
        <f>IFERROR(VLOOKUP($B28,Docket_Master!$A:$N,2,FALSE),"")</f>
        <v/>
      </c>
      <c r="E28" s="3" t="str">
        <f>IFERROR(VLOOKUP($B28,Docket_Master!$A:$N,3,FALSE),"")</f>
        <v/>
      </c>
      <c r="F28" s="6" t="str">
        <f>IFERROR(VLOOKUP($B28,Docket_Master!$A:$N,4,FALSE),"")</f>
        <v/>
      </c>
      <c r="G28" s="6" t="str">
        <f>IFERROR(VLOOKUP($B28,Docket_Master!$A:$N,5,FALSE),"")</f>
        <v/>
      </c>
      <c r="H28" s="6" t="str">
        <f>IFERROR(VLOOKUP($B28,Docket_Master!$A:$N,6,FALSE),"")</f>
        <v/>
      </c>
      <c r="I28" s="6" t="str">
        <f>IFERROR(VLOOKUP($B28,Docket_Master!$A:$N,7,FALSE),"")</f>
        <v/>
      </c>
      <c r="J28" s="3" t="str">
        <f>IFERROR(VLOOKUP($B28,Docket_Master!$A:$N,8,FALSE),"")</f>
        <v/>
      </c>
      <c r="K28" s="3" t="str">
        <f>IFERROR(VLOOKUP($B28,Docket_Master!$A:$N,9,FALSE),"")</f>
        <v/>
      </c>
      <c r="L28" s="3" t="str">
        <f>IFERROR(VLOOKUP($B28,Docket_Master!$A:$N,10,FALSE),"")</f>
        <v/>
      </c>
      <c r="M28" s="3" t="str">
        <f>IFERROR(VLOOKUP($B28,Docket_Master!$A:$N,11,FALSE),"")</f>
        <v/>
      </c>
      <c r="N28" s="6" t="str">
        <f>IFERROR(VLOOKUP($B28,Docket_Master!$A:$N,12,FALSE),"")</f>
        <v/>
      </c>
      <c r="O28" s="6" t="str">
        <f>IFERROR(VLOOKUP($B28,Docket_Master!$A:$N,13,FALSE),"")</f>
        <v/>
      </c>
      <c r="P28" s="3" t="str">
        <f>IF($B28="","",COUNTIFS($C$10:$C$29,"&gt;"&amp;$C28,$B$10:$B$29,"&lt;&gt;")+COUNTIFS($C$10:$C28,$C28,$B$10:$B28,"&lt;&gt;"))</f>
        <v/>
      </c>
      <c r="Q28" s="3" t="str">
        <f t="shared" si="0"/>
        <v/>
      </c>
      <c r="R28" s="3" t="str">
        <f>IF($B28="","",_xludf.TEXTJOIN("; ",TRUE,IF($K28="No","Non-stackable: floor placement",""),IF($L28="Yes","Fragile: avoid stacking",""),IF($M28="Yes","Keep upright","")))</f>
        <v/>
      </c>
      <c r="S28" s="3" t="str">
        <f>IF($B28="","",IF(COUNTIF(Docket_Master!$A:$A,$B28)&gt;0,"Found","Missing in Docket_Master"))</f>
        <v/>
      </c>
      <c r="T28" s="3" t="str">
        <f t="shared" si="1"/>
        <v/>
      </c>
      <c r="U28" s="3" t="str">
        <f t="shared" si="2"/>
        <v/>
      </c>
    </row>
    <row r="29" spans="1:21" ht="15">
      <c r="A29" s="3">
        <v>20</v>
      </c>
      <c r="B29" s="3"/>
      <c r="C29" s="3"/>
      <c r="D29" s="3" t="str">
        <f>IFERROR(VLOOKUP($B29,Docket_Master!$A:$N,2,FALSE),"")</f>
        <v/>
      </c>
      <c r="E29" s="3" t="str">
        <f>IFERROR(VLOOKUP($B29,Docket_Master!$A:$N,3,FALSE),"")</f>
        <v/>
      </c>
      <c r="F29" s="6" t="str">
        <f>IFERROR(VLOOKUP($B29,Docket_Master!$A:$N,4,FALSE),"")</f>
        <v/>
      </c>
      <c r="G29" s="6" t="str">
        <f>IFERROR(VLOOKUP($B29,Docket_Master!$A:$N,5,FALSE),"")</f>
        <v/>
      </c>
      <c r="H29" s="6" t="str">
        <f>IFERROR(VLOOKUP($B29,Docket_Master!$A:$N,6,FALSE),"")</f>
        <v/>
      </c>
      <c r="I29" s="6" t="str">
        <f>IFERROR(VLOOKUP($B29,Docket_Master!$A:$N,7,FALSE),"")</f>
        <v/>
      </c>
      <c r="J29" s="3" t="str">
        <f>IFERROR(VLOOKUP($B29,Docket_Master!$A:$N,8,FALSE),"")</f>
        <v/>
      </c>
      <c r="K29" s="3" t="str">
        <f>IFERROR(VLOOKUP($B29,Docket_Master!$A:$N,9,FALSE),"")</f>
        <v/>
      </c>
      <c r="L29" s="3" t="str">
        <f>IFERROR(VLOOKUP($B29,Docket_Master!$A:$N,10,FALSE),"")</f>
        <v/>
      </c>
      <c r="M29" s="3" t="str">
        <f>IFERROR(VLOOKUP($B29,Docket_Master!$A:$N,11,FALSE),"")</f>
        <v/>
      </c>
      <c r="N29" s="6" t="str">
        <f>IFERROR(VLOOKUP($B29,Docket_Master!$A:$N,12,FALSE),"")</f>
        <v/>
      </c>
      <c r="O29" s="6" t="str">
        <f>IFERROR(VLOOKUP($B29,Docket_Master!$A:$N,13,FALSE),"")</f>
        <v/>
      </c>
      <c r="P29" s="3" t="str">
        <f>IF($B29="","",COUNTIFS($C$10:$C$29,"&gt;"&amp;$C29,$B$10:$B$29,"&lt;&gt;")+COUNTIFS($C$10:$C29,$C29,$B$10:$B29,"&lt;&gt;"))</f>
        <v/>
      </c>
      <c r="Q29" s="3" t="str">
        <f t="shared" si="0"/>
        <v/>
      </c>
      <c r="R29" s="3" t="str">
        <f>IF($B29="","",_xludf.TEXTJOIN("; ",TRUE,IF($K29="No","Non-stackable: floor placement",""),IF($L29="Yes","Fragile: avoid stacking",""),IF($M29="Yes","Keep upright","")))</f>
        <v/>
      </c>
      <c r="S29" s="3" t="str">
        <f>IF($B29="","",IF(COUNTIF(Docket_Master!$A:$A,$B29)&gt;0,"Found","Missing in Docket_Master"))</f>
        <v/>
      </c>
      <c r="T29" s="3" t="str">
        <f t="shared" si="1"/>
        <v/>
      </c>
      <c r="U29" s="3" t="str">
        <f t="shared" si="2"/>
        <v/>
      </c>
    </row>
  </sheetData>
  <mergeCells count="3">
    <mergeCell ref="A1:U1"/>
    <mergeCell ref="A7:U7"/>
    <mergeCell ref="A6:I6"/>
  </mergeCells>
  <conditionalFormatting sqref="A9:U29">
    <cfRule type="expression" dxfId="4" priority="1">
      <formula>$S10="Missing in Docket_Master"</formula>
    </cfRule>
  </conditionalFormatting>
  <conditionalFormatting sqref="G5">
    <cfRule type="cellIs" dxfId="3" priority="2" operator="greaterThan">
      <formula>1</formula>
    </cfRule>
  </conditionalFormatting>
  <conditionalFormatting sqref="I5">
    <cfRule type="expression" dxfId="2" priority="3">
      <formula>$I$5="Review Required"</formula>
    </cfRule>
  </conditionalFormatting>
  <dataValidations count="1">
    <dataValidation sqref="C10:C29" xr:uid="{00000000-0002-0000-0300-000002000000}">
      <formula1>1</formula1>
      <formula2>10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300-000000000000}">
          <x14:formula1>
            <xm:f>Truck_Master!$A$2:$A$5</xm:f>
          </x14:formula1>
          <xm:sqref>B3</xm:sqref>
        </x14:dataValidation>
        <x14:dataValidation type="list" xr:uid="{00000000-0002-0000-0300-000001000000}">
          <x14:formula1>
            <xm:f>Docket_Master!$A$2:$A$16</xm:f>
          </x14:formula1>
          <xm:sqref>B10:B29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"/>
  <sheetViews>
    <sheetView workbookViewId="0">
      <selection sqref="A1:N1"/>
    </sheetView>
  </sheetViews>
  <sheetFormatPr baseColWidth="10" defaultColWidth="8.83203125" defaultRowHeight="14"/>
  <cols>
    <col min="1" max="1" width="61.6640625" customWidth="1"/>
    <col min="2" max="2" width="9" customWidth="1"/>
    <col min="3" max="3" width="12.6640625" customWidth="1"/>
    <col min="4" max="4" width="9.33203125" customWidth="1"/>
    <col min="5" max="5" width="8.6640625" customWidth="1"/>
    <col min="6" max="6" width="13.1640625" customWidth="1"/>
    <col min="7" max="8" width="14.83203125" customWidth="1"/>
    <col min="9" max="9" width="10" customWidth="1"/>
    <col min="10" max="10" width="32" customWidth="1"/>
    <col min="11" max="11" width="6.1640625" customWidth="1"/>
    <col min="12" max="12" width="15.1640625" customWidth="1"/>
    <col min="13" max="13" width="11.83203125" customWidth="1"/>
    <col min="14" max="14" width="32" customWidth="1"/>
  </cols>
  <sheetData>
    <row r="1" spans="1:14" ht="19">
      <c r="A1" s="14" t="s">
        <v>104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3" spans="1:14" ht="32">
      <c r="A3" s="5" t="s">
        <v>105</v>
      </c>
      <c r="B3" s="5" t="s">
        <v>29</v>
      </c>
      <c r="C3" s="5" t="s">
        <v>98</v>
      </c>
      <c r="D3" s="5" t="s">
        <v>30</v>
      </c>
      <c r="E3" s="5" t="s">
        <v>31</v>
      </c>
      <c r="F3" s="5" t="s">
        <v>37</v>
      </c>
      <c r="G3" s="5" t="s">
        <v>38</v>
      </c>
      <c r="H3" s="5" t="s">
        <v>106</v>
      </c>
      <c r="I3" s="5" t="s">
        <v>107</v>
      </c>
      <c r="J3" s="5" t="s">
        <v>108</v>
      </c>
      <c r="K3" s="5" t="s">
        <v>109</v>
      </c>
      <c r="L3" s="5" t="s">
        <v>110</v>
      </c>
      <c r="M3" s="5" t="s">
        <v>111</v>
      </c>
      <c r="N3" s="5" t="s">
        <v>112</v>
      </c>
    </row>
    <row r="4" spans="1:14" ht="45">
      <c r="A4" s="3">
        <v>1</v>
      </c>
      <c r="B4" s="3" t="s">
        <v>64</v>
      </c>
      <c r="C4" s="3">
        <v>5</v>
      </c>
      <c r="D4" s="3" t="s">
        <v>65</v>
      </c>
      <c r="E4" s="3" t="s">
        <v>49</v>
      </c>
      <c r="F4" s="6">
        <v>610</v>
      </c>
      <c r="G4" s="6">
        <v>51.408000000000001</v>
      </c>
      <c r="H4" s="3" t="s">
        <v>113</v>
      </c>
      <c r="I4" s="3" t="s">
        <v>114</v>
      </c>
      <c r="J4" s="3" t="s">
        <v>115</v>
      </c>
      <c r="K4" s="3" t="s">
        <v>116</v>
      </c>
      <c r="L4" s="3" t="s">
        <v>117</v>
      </c>
      <c r="M4" s="3" t="s">
        <v>118</v>
      </c>
      <c r="N4" s="3" t="s">
        <v>119</v>
      </c>
    </row>
    <row r="5" spans="1:14" ht="30">
      <c r="A5" s="3">
        <v>2</v>
      </c>
      <c r="B5" s="3" t="s">
        <v>47</v>
      </c>
      <c r="C5" s="3">
        <v>4</v>
      </c>
      <c r="D5" s="3" t="s">
        <v>48</v>
      </c>
      <c r="E5" s="3" t="s">
        <v>49</v>
      </c>
      <c r="F5" s="6">
        <v>520</v>
      </c>
      <c r="G5" s="6">
        <v>44.800000000000004</v>
      </c>
      <c r="H5" s="3" t="s">
        <v>120</v>
      </c>
      <c r="I5" s="3" t="s">
        <v>121</v>
      </c>
      <c r="J5" s="3" t="s">
        <v>115</v>
      </c>
      <c r="K5" s="3" t="s">
        <v>122</v>
      </c>
      <c r="L5" s="3" t="s">
        <v>117</v>
      </c>
      <c r="M5" s="3" t="s">
        <v>118</v>
      </c>
      <c r="N5" s="3" t="s">
        <v>123</v>
      </c>
    </row>
    <row r="6" spans="1:14" ht="30">
      <c r="A6" s="3">
        <v>3</v>
      </c>
      <c r="B6" s="3" t="s">
        <v>78</v>
      </c>
      <c r="C6" s="3">
        <v>4</v>
      </c>
      <c r="D6" s="3" t="s">
        <v>62</v>
      </c>
      <c r="E6" s="3" t="s">
        <v>49</v>
      </c>
      <c r="F6" s="6">
        <v>480</v>
      </c>
      <c r="G6" s="6">
        <v>36.480000000000004</v>
      </c>
      <c r="H6" s="3" t="s">
        <v>120</v>
      </c>
      <c r="I6" s="3" t="s">
        <v>121</v>
      </c>
      <c r="J6" s="3" t="s">
        <v>115</v>
      </c>
      <c r="K6" s="3" t="s">
        <v>122</v>
      </c>
      <c r="L6" s="3" t="s">
        <v>117</v>
      </c>
      <c r="M6" s="3" t="s">
        <v>118</v>
      </c>
      <c r="N6" s="3" t="s">
        <v>123</v>
      </c>
    </row>
    <row r="7" spans="1:14" ht="30">
      <c r="A7" s="3">
        <v>4</v>
      </c>
      <c r="B7" s="3" t="s">
        <v>69</v>
      </c>
      <c r="C7" s="3">
        <v>3</v>
      </c>
      <c r="D7" s="3" t="s">
        <v>48</v>
      </c>
      <c r="E7" s="3" t="s">
        <v>70</v>
      </c>
      <c r="F7" s="6">
        <v>345</v>
      </c>
      <c r="G7" s="6">
        <v>50.399999999999991</v>
      </c>
      <c r="H7" s="3" t="s">
        <v>120</v>
      </c>
      <c r="I7" s="3" t="s">
        <v>121</v>
      </c>
      <c r="J7" s="3" t="s">
        <v>115</v>
      </c>
      <c r="K7" s="3" t="s">
        <v>122</v>
      </c>
      <c r="L7" s="3" t="s">
        <v>117</v>
      </c>
      <c r="M7" s="3" t="s">
        <v>118</v>
      </c>
      <c r="N7" s="3" t="s">
        <v>123</v>
      </c>
    </row>
    <row r="8" spans="1:14" ht="30">
      <c r="A8" s="3">
        <v>5</v>
      </c>
      <c r="B8" s="3" t="s">
        <v>67</v>
      </c>
      <c r="C8" s="3">
        <v>2</v>
      </c>
      <c r="D8" s="3" t="s">
        <v>65</v>
      </c>
      <c r="E8" s="3" t="s">
        <v>41</v>
      </c>
      <c r="F8" s="6">
        <v>420</v>
      </c>
      <c r="G8" s="6">
        <v>70.560000000000016</v>
      </c>
      <c r="H8" s="3" t="s">
        <v>120</v>
      </c>
      <c r="I8" s="3" t="s">
        <v>121</v>
      </c>
      <c r="J8" s="3" t="s">
        <v>124</v>
      </c>
      <c r="K8" s="3" t="s">
        <v>122</v>
      </c>
      <c r="L8" s="3" t="s">
        <v>117</v>
      </c>
      <c r="M8" s="3" t="s">
        <v>125</v>
      </c>
      <c r="N8" s="3" t="s">
        <v>123</v>
      </c>
    </row>
    <row r="9" spans="1:14" ht="30">
      <c r="A9" s="3">
        <v>6</v>
      </c>
      <c r="B9" s="3" t="s">
        <v>74</v>
      </c>
      <c r="C9" s="3">
        <v>2</v>
      </c>
      <c r="D9" s="3" t="s">
        <v>40</v>
      </c>
      <c r="E9" s="3" t="s">
        <v>41</v>
      </c>
      <c r="F9" s="6">
        <v>384</v>
      </c>
      <c r="G9" s="6">
        <v>46.800000000000004</v>
      </c>
      <c r="H9" s="3" t="s">
        <v>120</v>
      </c>
      <c r="I9" s="3" t="s">
        <v>121</v>
      </c>
      <c r="J9" s="3" t="s">
        <v>124</v>
      </c>
      <c r="K9" s="3" t="s">
        <v>122</v>
      </c>
      <c r="L9" s="3" t="s">
        <v>117</v>
      </c>
      <c r="M9" s="3" t="s">
        <v>125</v>
      </c>
      <c r="N9" s="3" t="s">
        <v>123</v>
      </c>
    </row>
    <row r="10" spans="1:14" ht="30">
      <c r="A10" s="3">
        <v>7</v>
      </c>
      <c r="B10" s="3" t="s">
        <v>55</v>
      </c>
      <c r="C10" s="3">
        <v>1</v>
      </c>
      <c r="D10" s="3" t="s">
        <v>40</v>
      </c>
      <c r="E10" s="3" t="s">
        <v>41</v>
      </c>
      <c r="F10" s="6">
        <v>360</v>
      </c>
      <c r="G10" s="6">
        <v>69.12</v>
      </c>
      <c r="H10" s="3" t="s">
        <v>126</v>
      </c>
      <c r="I10" s="3" t="s">
        <v>127</v>
      </c>
      <c r="J10" s="3" t="s">
        <v>128</v>
      </c>
      <c r="K10" s="3" t="s">
        <v>14</v>
      </c>
      <c r="L10" s="3" t="s">
        <v>117</v>
      </c>
      <c r="M10" s="3" t="s">
        <v>125</v>
      </c>
      <c r="N10" s="3" t="s">
        <v>129</v>
      </c>
    </row>
    <row r="11" spans="1:14" ht="30">
      <c r="A11" s="3">
        <v>8</v>
      </c>
      <c r="B11" s="3" t="s">
        <v>72</v>
      </c>
      <c r="C11" s="3">
        <v>1</v>
      </c>
      <c r="D11" s="3" t="s">
        <v>52</v>
      </c>
      <c r="E11" s="3" t="s">
        <v>41</v>
      </c>
      <c r="F11" s="6">
        <v>378</v>
      </c>
      <c r="G11" s="6">
        <v>70.2</v>
      </c>
      <c r="H11" s="3" t="s">
        <v>126</v>
      </c>
      <c r="I11" s="3" t="s">
        <v>127</v>
      </c>
      <c r="J11" s="3" t="s">
        <v>128</v>
      </c>
      <c r="K11" s="3" t="s">
        <v>14</v>
      </c>
      <c r="L11" s="3" t="s">
        <v>117</v>
      </c>
      <c r="M11" s="3" t="s">
        <v>125</v>
      </c>
      <c r="N11" s="3" t="s">
        <v>129</v>
      </c>
    </row>
  </sheetData>
  <mergeCells count="1">
    <mergeCell ref="A1:N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6"/>
  <sheetViews>
    <sheetView workbookViewId="0">
      <selection sqref="A1:H1"/>
    </sheetView>
  </sheetViews>
  <sheetFormatPr baseColWidth="10" defaultColWidth="8.83203125" defaultRowHeight="14"/>
  <cols>
    <col min="1" max="1" width="24" customWidth="1"/>
    <col min="2" max="2" width="9.6640625" customWidth="1"/>
    <col min="4" max="4" width="25" customWidth="1"/>
    <col min="5" max="5" width="6.83203125" customWidth="1"/>
    <col min="7" max="7" width="22" customWidth="1"/>
    <col min="8" max="8" width="18" customWidth="1"/>
  </cols>
  <sheetData>
    <row r="1" spans="1:11" ht="19">
      <c r="A1" s="14" t="s">
        <v>130</v>
      </c>
      <c r="B1" s="15"/>
      <c r="C1" s="15"/>
      <c r="D1" s="15"/>
      <c r="E1" s="15"/>
      <c r="F1" s="15"/>
      <c r="G1" s="15"/>
      <c r="H1" s="15"/>
    </row>
    <row r="3" spans="1:11" ht="16">
      <c r="A3" s="12" t="s">
        <v>131</v>
      </c>
      <c r="B3" s="12" t="s">
        <v>132</v>
      </c>
      <c r="C3" s="3"/>
      <c r="D3" s="12" t="s">
        <v>133</v>
      </c>
      <c r="E3" s="12" t="s">
        <v>132</v>
      </c>
      <c r="F3" s="3"/>
      <c r="G3" s="12" t="s">
        <v>134</v>
      </c>
      <c r="H3" s="12" t="s">
        <v>135</v>
      </c>
      <c r="J3" s="2" t="s">
        <v>136</v>
      </c>
      <c r="K3" s="2" t="s">
        <v>137</v>
      </c>
    </row>
    <row r="4" spans="1:11" ht="30">
      <c r="A4" s="3" t="s">
        <v>138</v>
      </c>
      <c r="B4" s="3" t="str">
        <f>Stage1_Input!$B$3</f>
        <v>TRK-17FT-01</v>
      </c>
      <c r="C4" s="3"/>
      <c r="D4" s="3" t="s">
        <v>88</v>
      </c>
      <c r="E4" s="3">
        <f>Stage1_Input!$G$4</f>
        <v>3497</v>
      </c>
      <c r="F4" s="3"/>
      <c r="G4" s="3" t="s">
        <v>139</v>
      </c>
      <c r="H4" s="3" t="str">
        <f>IF(Stage1_Input!$G$4&gt;Stage1_Input!$G$3,"Overweight","OK")</f>
        <v>OK</v>
      </c>
      <c r="J4" t="s">
        <v>140</v>
      </c>
      <c r="K4" s="9">
        <f>E5</f>
        <v>0.53800000000000003</v>
      </c>
    </row>
    <row r="5" spans="1:11" ht="30">
      <c r="A5" s="3" t="s">
        <v>83</v>
      </c>
      <c r="B5" s="3" t="str">
        <f>Stage1_Input!$E$3</f>
        <v>17 ft Eicher</v>
      </c>
      <c r="C5" s="3"/>
      <c r="D5" s="3" t="s">
        <v>141</v>
      </c>
      <c r="E5" s="13">
        <f>Stage1_Input!$E$5</f>
        <v>0.53800000000000003</v>
      </c>
      <c r="F5" s="3"/>
      <c r="G5" s="3" t="s">
        <v>142</v>
      </c>
      <c r="H5" s="3" t="str">
        <f>IF(Stage1_Input!$I$4&gt;Stage1_Input!$I$3,"Volume Overflow","OK")</f>
        <v>OK</v>
      </c>
      <c r="J5" t="s">
        <v>143</v>
      </c>
      <c r="K5" s="9">
        <f>E7</f>
        <v>0.47905010893246192</v>
      </c>
    </row>
    <row r="6" spans="1:11" ht="15">
      <c r="A6" s="3" t="s">
        <v>144</v>
      </c>
      <c r="B6" s="6">
        <f>Stage1_Input!$G$3</f>
        <v>6500</v>
      </c>
      <c r="C6" s="6"/>
      <c r="D6" s="6" t="s">
        <v>89</v>
      </c>
      <c r="E6" s="13">
        <f>Stage1_Input!$I$4</f>
        <v>439.76800000000003</v>
      </c>
      <c r="F6" s="3"/>
      <c r="G6" s="3" t="s">
        <v>145</v>
      </c>
      <c r="H6" s="3" t="str">
        <f>IF(COUNTIF(Stage1_Input!$L$10:$L$29,"Yes")&gt;0,"Yes","No")</f>
        <v>Yes</v>
      </c>
    </row>
    <row r="7" spans="1:11" ht="15">
      <c r="A7" s="3" t="s">
        <v>85</v>
      </c>
      <c r="B7" s="6">
        <f>Stage1_Input!$I$3</f>
        <v>918</v>
      </c>
      <c r="C7" s="6"/>
      <c r="D7" s="6" t="s">
        <v>146</v>
      </c>
      <c r="E7" s="13">
        <f>Stage1_Input!$G$5</f>
        <v>0.47905010893246192</v>
      </c>
      <c r="F7" s="3"/>
      <c r="G7" s="3" t="s">
        <v>147</v>
      </c>
      <c r="H7" s="3" t="str">
        <f>IF(COUNTIF(Stage1_Input!$K$10:$K$29,"No")&gt;0,"Yes","No")</f>
        <v>Yes</v>
      </c>
    </row>
    <row r="8" spans="1:11" ht="15">
      <c r="A8" s="3" t="s">
        <v>87</v>
      </c>
      <c r="B8" s="6">
        <f>Stage1_Input!$E$4</f>
        <v>8</v>
      </c>
      <c r="C8" s="6"/>
      <c r="D8" s="6" t="s">
        <v>148</v>
      </c>
      <c r="E8" s="6">
        <f>MAX(0,Stage1_Input!$I$3-Stage1_Input!$I$4)</f>
        <v>478.23199999999997</v>
      </c>
      <c r="F8" s="3"/>
      <c r="G8" s="3"/>
      <c r="H8" s="3"/>
    </row>
    <row r="9" spans="1:11" ht="15">
      <c r="A9" s="3" t="s">
        <v>94</v>
      </c>
      <c r="B9" s="3" t="str">
        <f>Stage1_Input!$I$5</f>
        <v>Feasible</v>
      </c>
      <c r="C9" s="3"/>
      <c r="D9" s="3"/>
      <c r="E9" s="3"/>
      <c r="F9" s="3"/>
      <c r="G9" s="3"/>
      <c r="H9" s="3"/>
    </row>
    <row r="11" spans="1:11" ht="15">
      <c r="A11" s="18" t="s">
        <v>149</v>
      </c>
      <c r="B11" s="15"/>
      <c r="C11" s="15"/>
      <c r="D11" s="15"/>
      <c r="E11" s="15"/>
      <c r="F11" s="15"/>
      <c r="G11" s="15"/>
      <c r="H11" s="15"/>
    </row>
    <row r="12" spans="1:11" ht="80" customHeight="1">
      <c r="A12" s="19" t="s">
        <v>150</v>
      </c>
      <c r="B12" s="15"/>
      <c r="C12" s="15"/>
      <c r="D12" s="15"/>
      <c r="E12" s="15"/>
      <c r="F12" s="15"/>
      <c r="G12" s="15"/>
      <c r="H12" s="15"/>
    </row>
    <row r="13" spans="1:11">
      <c r="A13" s="15"/>
      <c r="B13" s="15"/>
      <c r="C13" s="15"/>
      <c r="D13" s="15"/>
      <c r="E13" s="15"/>
      <c r="F13" s="15"/>
      <c r="G13" s="15"/>
      <c r="H13" s="15"/>
    </row>
    <row r="14" spans="1:11">
      <c r="A14" s="15"/>
      <c r="B14" s="15"/>
      <c r="C14" s="15"/>
      <c r="D14" s="15"/>
      <c r="E14" s="15"/>
      <c r="F14" s="15"/>
      <c r="G14" s="15"/>
      <c r="H14" s="15"/>
    </row>
    <row r="15" spans="1:11">
      <c r="A15" s="15"/>
      <c r="B15" s="15"/>
      <c r="C15" s="15"/>
      <c r="D15" s="15"/>
      <c r="E15" s="15"/>
      <c r="F15" s="15"/>
      <c r="G15" s="15"/>
      <c r="H15" s="15"/>
    </row>
    <row r="16" spans="1:11">
      <c r="A16" s="15"/>
      <c r="B16" s="15"/>
      <c r="C16" s="15"/>
      <c r="D16" s="15"/>
      <c r="E16" s="15"/>
      <c r="F16" s="15"/>
      <c r="G16" s="15"/>
      <c r="H16" s="15"/>
    </row>
  </sheetData>
  <mergeCells count="3">
    <mergeCell ref="A1:H1"/>
    <mergeCell ref="A11:H11"/>
    <mergeCell ref="A12:H16"/>
  </mergeCells>
  <conditionalFormatting sqref="B9">
    <cfRule type="expression" dxfId="1" priority="2">
      <formula>B9="Review Required"</formula>
    </cfRule>
  </conditionalFormatting>
  <conditionalFormatting sqref="H4:H5">
    <cfRule type="expression" dxfId="0" priority="1">
      <formula>H4&lt;&gt;"OK"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/>
  </sheetViews>
  <sheetFormatPr baseColWidth="10" defaultColWidth="8.83203125" defaultRowHeight="14"/>
  <cols>
    <col min="1" max="5" width="18" customWidth="1"/>
  </cols>
  <sheetData>
    <row r="1" spans="1:5" ht="15">
      <c r="A1" s="4" t="s">
        <v>31</v>
      </c>
      <c r="B1" s="4" t="s">
        <v>34</v>
      </c>
      <c r="C1" s="4" t="s">
        <v>35</v>
      </c>
      <c r="D1" s="4" t="s">
        <v>36</v>
      </c>
      <c r="E1" s="4" t="s">
        <v>9</v>
      </c>
    </row>
    <row r="2" spans="1:5">
      <c r="A2" t="s">
        <v>41</v>
      </c>
      <c r="B2" t="s">
        <v>42</v>
      </c>
      <c r="C2" t="s">
        <v>42</v>
      </c>
      <c r="D2" t="s">
        <v>42</v>
      </c>
      <c r="E2" t="s">
        <v>15</v>
      </c>
    </row>
    <row r="3" spans="1:5">
      <c r="A3" t="s">
        <v>49</v>
      </c>
      <c r="B3" t="s">
        <v>43</v>
      </c>
      <c r="C3" t="s">
        <v>43</v>
      </c>
      <c r="D3" t="s">
        <v>43</v>
      </c>
      <c r="E3" t="s">
        <v>151</v>
      </c>
    </row>
    <row r="4" spans="1:5">
      <c r="A4" t="s">
        <v>53</v>
      </c>
    </row>
    <row r="5" spans="1:5">
      <c r="A5" t="s">
        <v>59</v>
      </c>
    </row>
    <row r="6" spans="1:5">
      <c r="A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Truck_Master</vt:lpstr>
      <vt:lpstr>Docket_Master</vt:lpstr>
      <vt:lpstr>Stage1_Input</vt:lpstr>
      <vt:lpstr>Expected_Output</vt:lpstr>
      <vt:lpstr>Dashboard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t24610</cp:lastModifiedBy>
  <dcterms:modified xsi:type="dcterms:W3CDTF">2026-06-24T03:29:32Z</dcterms:modified>
</cp:coreProperties>
</file>